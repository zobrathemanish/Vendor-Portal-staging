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angi\Downloads\ETL Pipeline Project - Phase 1\Vendor Portal Setup\data\templates\"/>
    </mc:Choice>
  </mc:AlternateContent>
  <xr:revisionPtr revIDLastSave="0" documentId="13_ncr:1_{B91DD38F-57BC-4E36-8CF2-167105BC1219}" xr6:coauthVersionLast="47" xr6:coauthVersionMax="47" xr10:uidLastSave="{00000000-0000-0000-0000-000000000000}"/>
  <bookViews>
    <workbookView xWindow="-28920" yWindow="-120" windowWidth="29040" windowHeight="15840" activeTab="7" xr2:uid="{00000000-000D-0000-FFFF-FFFF00000000}"/>
  </bookViews>
  <sheets>
    <sheet name="Item_Master" sheetId="1" r:id="rId1"/>
    <sheet name="Descriptions" sheetId="2" r:id="rId2"/>
    <sheet name="Extended_Info" sheetId="3" r:id="rId3"/>
    <sheet name="Attributes" sheetId="4" r:id="rId4"/>
    <sheet name="Part_Interchange" sheetId="5" r:id="rId5"/>
    <sheet name="Packages" sheetId="6" r:id="rId6"/>
    <sheet name="Digital_Assets" sheetId="7" state="hidden" r:id="rId7"/>
    <sheet name="Pricing" sheetId="8" r:id="rId8"/>
    <sheet name="EHC" sheetId="9" r:id="rId9"/>
    <sheet name="CountryCodes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2" i="10" l="1"/>
  <c r="A242" i="10"/>
  <c r="B241" i="10"/>
  <c r="A241" i="10"/>
  <c r="B240" i="10"/>
  <c r="A240" i="10"/>
  <c r="B239" i="10"/>
  <c r="A239" i="10"/>
  <c r="B238" i="10"/>
  <c r="A238" i="10"/>
  <c r="B237" i="10"/>
  <c r="A237" i="10"/>
  <c r="B236" i="10"/>
  <c r="A236" i="10"/>
  <c r="B235" i="10"/>
  <c r="A235" i="10"/>
  <c r="B234" i="10"/>
  <c r="A234" i="10"/>
  <c r="B233" i="10"/>
  <c r="A233" i="10"/>
  <c r="B232" i="10"/>
  <c r="A232" i="10"/>
  <c r="B231" i="10"/>
  <c r="A231" i="10"/>
  <c r="B230" i="10"/>
  <c r="A230" i="10"/>
  <c r="B229" i="10"/>
  <c r="A229" i="10"/>
  <c r="B228" i="10"/>
  <c r="A228" i="10"/>
  <c r="B227" i="10"/>
  <c r="A227" i="10"/>
  <c r="B226" i="10"/>
  <c r="A226" i="10"/>
  <c r="B225" i="10"/>
  <c r="A225" i="10"/>
  <c r="B224" i="10"/>
  <c r="A224" i="10"/>
  <c r="B223" i="10"/>
  <c r="A223" i="10"/>
  <c r="B222" i="10"/>
  <c r="A222" i="10"/>
  <c r="B221" i="10"/>
  <c r="A221" i="10"/>
  <c r="B220" i="10"/>
  <c r="A220" i="10"/>
  <c r="B219" i="10"/>
  <c r="A219" i="10"/>
  <c r="B218" i="10"/>
  <c r="A218" i="10"/>
  <c r="B217" i="10"/>
  <c r="A217" i="10"/>
  <c r="B216" i="10"/>
  <c r="A216" i="10"/>
  <c r="B215" i="10"/>
  <c r="A215" i="10"/>
  <c r="B214" i="10"/>
  <c r="A214" i="10"/>
  <c r="B213" i="10"/>
  <c r="A213" i="10"/>
  <c r="B212" i="10"/>
  <c r="A212" i="10"/>
  <c r="B211" i="10"/>
  <c r="A211" i="10"/>
  <c r="B210" i="10"/>
  <c r="A210" i="10"/>
  <c r="B209" i="10"/>
  <c r="A209" i="10"/>
  <c r="B208" i="10"/>
  <c r="A208" i="10"/>
  <c r="B207" i="10"/>
  <c r="A207" i="10"/>
  <c r="B206" i="10"/>
  <c r="A206" i="10"/>
  <c r="B205" i="10"/>
  <c r="A205" i="10"/>
  <c r="B204" i="10"/>
  <c r="A204" i="10"/>
  <c r="B203" i="10"/>
  <c r="A203" i="10"/>
  <c r="B202" i="10"/>
  <c r="A202" i="10"/>
  <c r="B201" i="10"/>
  <c r="A201" i="10"/>
  <c r="B200" i="10"/>
  <c r="A200" i="10"/>
  <c r="B199" i="10"/>
  <c r="A199" i="10"/>
  <c r="B198" i="10"/>
  <c r="A198" i="10"/>
  <c r="B197" i="10"/>
  <c r="A197" i="10"/>
  <c r="B196" i="10"/>
  <c r="A196" i="10"/>
  <c r="B195" i="10"/>
  <c r="A195" i="10"/>
  <c r="B194" i="10"/>
  <c r="A194" i="10"/>
  <c r="B193" i="10"/>
  <c r="A193" i="10"/>
  <c r="B192" i="10"/>
  <c r="A192" i="10"/>
  <c r="B191" i="10"/>
  <c r="A191" i="10"/>
  <c r="B190" i="10"/>
  <c r="A190" i="10"/>
  <c r="B189" i="10"/>
  <c r="A189" i="10"/>
  <c r="B188" i="10"/>
  <c r="A188" i="10"/>
  <c r="B187" i="10"/>
  <c r="A187" i="10"/>
  <c r="B186" i="10"/>
  <c r="A186" i="10"/>
  <c r="B185" i="10"/>
  <c r="A185" i="10"/>
  <c r="B184" i="10"/>
  <c r="A184" i="10"/>
  <c r="B183" i="10"/>
  <c r="A183" i="10"/>
  <c r="B182" i="10"/>
  <c r="A182" i="10"/>
  <c r="B181" i="10"/>
  <c r="A181" i="10"/>
  <c r="B180" i="10"/>
  <c r="A180" i="10"/>
  <c r="B179" i="10"/>
  <c r="A179" i="10"/>
  <c r="B178" i="10"/>
  <c r="A178" i="10"/>
  <c r="B177" i="10"/>
  <c r="A177" i="10"/>
  <c r="B176" i="10"/>
  <c r="A176" i="10"/>
  <c r="B175" i="10"/>
  <c r="A175" i="10"/>
  <c r="B174" i="10"/>
  <c r="A174" i="10"/>
  <c r="B173" i="10"/>
  <c r="A173" i="10"/>
  <c r="B172" i="10"/>
  <c r="A172" i="10"/>
  <c r="B171" i="10"/>
  <c r="A171" i="10"/>
  <c r="B170" i="10"/>
  <c r="A170" i="10"/>
  <c r="B169" i="10"/>
  <c r="A169" i="10"/>
  <c r="B168" i="10"/>
  <c r="A168" i="10"/>
  <c r="B167" i="10"/>
  <c r="A167" i="10"/>
  <c r="B166" i="10"/>
  <c r="A166" i="10"/>
  <c r="B165" i="10"/>
  <c r="A165" i="10"/>
  <c r="B164" i="10"/>
  <c r="A164" i="10"/>
  <c r="B163" i="10"/>
  <c r="A163" i="10"/>
  <c r="B162" i="10"/>
  <c r="A162" i="10"/>
  <c r="B161" i="10"/>
  <c r="A161" i="10"/>
  <c r="B160" i="10"/>
  <c r="A160" i="10"/>
  <c r="B159" i="10"/>
  <c r="A159" i="10"/>
  <c r="B158" i="10"/>
  <c r="A158" i="10"/>
  <c r="B157" i="10"/>
  <c r="A157" i="10"/>
  <c r="B156" i="10"/>
  <c r="A156" i="10"/>
  <c r="B155" i="10"/>
  <c r="A155" i="10"/>
  <c r="B154" i="10"/>
  <c r="A154" i="10"/>
  <c r="B153" i="10"/>
  <c r="A153" i="10"/>
  <c r="B152" i="10"/>
  <c r="A152" i="10"/>
  <c r="B151" i="10"/>
  <c r="A151" i="10"/>
  <c r="B150" i="10"/>
  <c r="A150" i="10"/>
  <c r="B149" i="10"/>
  <c r="A149" i="10"/>
  <c r="B148" i="10"/>
  <c r="A148" i="10"/>
  <c r="B147" i="10"/>
  <c r="A147" i="10"/>
  <c r="B146" i="10"/>
  <c r="A146" i="10"/>
  <c r="B145" i="10"/>
  <c r="A145" i="10"/>
  <c r="B144" i="10"/>
  <c r="A144" i="10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</calcChain>
</file>

<file path=xl/sharedStrings.xml><?xml version="1.0" encoding="utf-8"?>
<sst xmlns="http://schemas.openxmlformats.org/spreadsheetml/2006/main" count="95" uniqueCount="86">
  <si>
    <t>Part Number</t>
  </si>
  <si>
    <t>UNSPSC</t>
  </si>
  <si>
    <t>Product Status</t>
  </si>
  <si>
    <t>Barcode Type</t>
  </si>
  <si>
    <t>Barcode Number</t>
  </si>
  <si>
    <t>Quantity UOM</t>
  </si>
  <si>
    <t>Quantity Size</t>
  </si>
  <si>
    <t>VMRS Code</t>
  </si>
  <si>
    <t>12-142500</t>
  </si>
  <si>
    <t>SKU</t>
  </si>
  <si>
    <t>Description Change Type</t>
  </si>
  <si>
    <t>Extended Info Change Type</t>
  </si>
  <si>
    <t>Extended Info Value</t>
  </si>
  <si>
    <t>Attribute Change Type</t>
  </si>
  <si>
    <t>Attribute Name</t>
  </si>
  <si>
    <t>Attribute Value</t>
  </si>
  <si>
    <t>Part Interchange Change Type</t>
  </si>
  <si>
    <t>Brand Label</t>
  </si>
  <si>
    <t>Package Change Type</t>
  </si>
  <si>
    <t>Package UOM</t>
  </si>
  <si>
    <t>Package Quantity of Eaches</t>
  </si>
  <si>
    <t>Weight UOM</t>
  </si>
  <si>
    <t>Weight</t>
  </si>
  <si>
    <t>Dimension UOM</t>
  </si>
  <si>
    <t>Merch Length</t>
  </si>
  <si>
    <t>Merch Width</t>
  </si>
  <si>
    <t>Merch Height</t>
  </si>
  <si>
    <t>Ship Length</t>
  </si>
  <si>
    <t>Ship Width</t>
  </si>
  <si>
    <t>Ship Height</t>
  </si>
  <si>
    <t>Digital Change Type</t>
  </si>
  <si>
    <t>Media Type</t>
  </si>
  <si>
    <t>FileName</t>
  </si>
  <si>
    <t>FileLocalPath</t>
  </si>
  <si>
    <t>PrimaryImage</t>
  </si>
  <si>
    <t>BF891.jpg</t>
  </si>
  <si>
    <t>C:\Users\mdangi\Downloads\ETL Pipeline Project - Phase 1\Vendor Portal Setup\uploads\manual_assets\Baldwin Filters\12-142500\BF891.jpg</t>
  </si>
  <si>
    <t>Pricing Method</t>
  </si>
  <si>
    <t>Currency</t>
  </si>
  <si>
    <t>MOQ Unit</t>
  </si>
  <si>
    <t>MOQ</t>
  </si>
  <si>
    <t>Pricing Change Type</t>
  </si>
  <si>
    <t>Pricing Type</t>
  </si>
  <si>
    <t>List Price</t>
  </si>
  <si>
    <t>Jobber Price</t>
  </si>
  <si>
    <t>Discount %</t>
  </si>
  <si>
    <t>Pricing Amount</t>
  </si>
  <si>
    <t>EHC AB_MB_SK Each</t>
  </si>
  <si>
    <t>EHC AB_MB_SK Case</t>
  </si>
  <si>
    <t>EHC BC Each</t>
  </si>
  <si>
    <t>EHC BC Case</t>
  </si>
  <si>
    <t>EHC NL Each</t>
  </si>
  <si>
    <t>EHC NL Case</t>
  </si>
  <si>
    <t>EHC NS Each</t>
  </si>
  <si>
    <t>EHC NS Case</t>
  </si>
  <si>
    <t>EHC NB_QC Each</t>
  </si>
  <si>
    <t>EHC NB_QC Case</t>
  </si>
  <si>
    <t>EHC PEI Each</t>
  </si>
  <si>
    <t>EHC PEI Case</t>
  </si>
  <si>
    <t>EHC YK Each</t>
  </si>
  <si>
    <t>EHC YK Case</t>
  </si>
  <si>
    <t>Tier Min Qty</t>
  </si>
  <si>
    <t>Tier Max Qty</t>
  </si>
  <si>
    <t>Effective Date</t>
  </si>
  <si>
    <t>Start Date</t>
  </si>
  <si>
    <t>End Date</t>
  </si>
  <si>
    <t>Core Part Number</t>
  </si>
  <si>
    <t>Core Cost</t>
  </si>
  <si>
    <t>Notes</t>
  </si>
  <si>
    <t>Hazardous Item?</t>
  </si>
  <si>
    <t>Description Type</t>
  </si>
  <si>
    <t xml:space="preserve">Description </t>
  </si>
  <si>
    <t>Order of Occurrence</t>
  </si>
  <si>
    <t>Standard</t>
  </si>
  <si>
    <t>Extended Info Type</t>
  </si>
  <si>
    <t>FGI - Country Codes</t>
  </si>
  <si>
    <t>Code</t>
  </si>
  <si>
    <t>Name</t>
  </si>
  <si>
    <t>Interchange Quality</t>
  </si>
  <si>
    <t>Substitute Part Number</t>
  </si>
  <si>
    <t>Modify</t>
  </si>
  <si>
    <t>Net Cost</t>
  </si>
  <si>
    <t>Yes</t>
  </si>
  <si>
    <t>No</t>
  </si>
  <si>
    <t>121212121212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</si>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</sst>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49" fontId="0" fillId="0" borderId="0" xfId="0" applyNumberFormat="1"/>
    <xf numFmtId="0" fontId="1" fillId="3" borderId="1" xfId="0" applyFont="1" applyFill="1" applyBorder="1"/>
    <xf numFmtId="49" fontId="1" fillId="2" borderId="0" xfId="0" applyNumberFormat="1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F3" sqref="F3"/>
    </sheetView>
  </sheetViews>
  <sheetFormatPr defaultRowHeight="15" x14ac:dyDescent="0.25"/>
  <cols>
    <col min="1" max="1" width="15.28515625" customWidth="1"/>
    <col min="2" max="2" width="13.42578125" customWidth="1"/>
    <col min="3" max="3" width="15.7109375" customWidth="1"/>
    <col min="4" max="5" width="16.7109375" customWidth="1"/>
    <col min="6" max="6" width="23" style="3" customWidth="1"/>
    <col min="7" max="7" width="19.85546875" customWidth="1"/>
    <col min="8" max="8" width="16" customWidth="1"/>
    <col min="9" max="9" width="15.28515625" customWidth="1"/>
  </cols>
  <sheetData>
    <row r="1" spans="1:9" x14ac:dyDescent="0.25">
      <c r="A1" s="1" t="s">
        <v>0</v>
      </c>
      <c r="B1" s="1" t="s">
        <v>1</v>
      </c>
      <c r="C1" s="1" t="s">
        <v>69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C2" t="s">
        <v>82</v>
      </c>
      <c r="E2" t="s">
        <v>85</v>
      </c>
      <c r="F2" s="3" t="s">
        <v>84</v>
      </c>
    </row>
    <row r="3" spans="1:9" x14ac:dyDescent="0.25">
      <c r="C3" t="s">
        <v>83</v>
      </c>
    </row>
    <row r="4" spans="1:9" x14ac:dyDescent="0.25">
      <c r="C4" t="s">
        <v>82</v>
      </c>
    </row>
    <row r="5" spans="1:9" x14ac:dyDescent="0.25">
      <c r="C5" t="s">
        <v>82</v>
      </c>
    </row>
  </sheetData>
  <conditionalFormatting sqref="B2:B1048576">
    <cfRule type="expression" dxfId="17" priority="13">
      <formula>AND(B2&lt;&gt;"", LEN(TEXT(B2,"0"))&lt;&gt;8)</formula>
    </cfRule>
    <cfRule type="expression" priority="14">
      <formula>AND(B2&lt;&gt;"", LEN(TEXT(B2,"0"))&lt;&gt;8)</formula>
    </cfRule>
  </conditionalFormatting>
  <conditionalFormatting sqref="E2:E1048576">
    <cfRule type="expression" dxfId="16" priority="6">
      <formula>AND($E2="", $F2&lt;&gt;"")</formula>
    </cfRule>
  </conditionalFormatting>
  <conditionalFormatting sqref="F2:F1048576">
    <cfRule type="expression" dxfId="15" priority="2">
      <formula>AND($E2="EN", LEN($F2)&lt;&gt;14)</formula>
    </cfRule>
    <cfRule type="expression" dxfId="14" priority="3">
      <formula>AND($F2&lt;&gt;"", $E2="")</formula>
    </cfRule>
    <cfRule type="expression" dxfId="13" priority="4">
      <formula>AND($E2="UPC", LEN($F2)&lt;&gt;12)</formula>
    </cfRule>
    <cfRule type="expression" dxfId="12" priority="5">
      <formula>AND($F2&lt;&gt;"", NOT(ISNUMBER(--$F2)))</formula>
    </cfRule>
  </conditionalFormatting>
  <conditionalFormatting sqref="H2:H1048576">
    <cfRule type="expression" dxfId="11" priority="1">
      <formula>AND($H2&lt;&gt;"", NOT(ISNUMBER($H2)))</formula>
    </cfRule>
  </conditionalFormatting>
  <dataValidations count="4">
    <dataValidation type="list" allowBlank="1" showInputMessage="1" showErrorMessage="1" sqref="C1:C1048576" xr:uid="{C0617E43-CB69-4CF8-B5CA-1F5B7FC5D37D}">
      <formula1>"Yes, No"</formula1>
    </dataValidation>
    <dataValidation type="list" allowBlank="1" showInputMessage="1" showErrorMessage="1" sqref="D2:D1048576" xr:uid="{32432B70-436A-4CC9-A02A-B08F4B348659}">
      <formula1>"Active, Inactive, Obsolete"</formula1>
    </dataValidation>
    <dataValidation type="list" allowBlank="1" showInputMessage="1" showErrorMessage="1" sqref="E2:E1048576" xr:uid="{DC6DC27C-2127-4AC5-9372-FFE24E823520}">
      <formula1>"UPC, EN"</formula1>
    </dataValidation>
    <dataValidation type="list" allowBlank="1" showInputMessage="1" showErrorMessage="1" sqref="G2" xr:uid="{B0242F77-B8BA-4E92-85DF-C86AE97422BE}">
      <formula1>"EA, PC, Box, CS, PK, Set, RL, BG, BT, DZ"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workbookViewId="0">
      <selection activeCell="E4" sqref="E4"/>
    </sheetView>
  </sheetViews>
  <sheetFormatPr defaultRowHeight="15" x14ac:dyDescent="0.25"/>
  <cols>
    <col min="1" max="1" width="20.85546875" customWidth="1"/>
    <col min="2" max="2" width="26.7109375" customWidth="1"/>
    <col min="3" max="3" width="18.28515625" customWidth="1"/>
    <col min="4" max="4" width="59.42578125" customWidth="1"/>
    <col min="5" max="5" width="20.5703125" customWidth="1"/>
  </cols>
  <sheetData>
    <row r="1" spans="1:5" x14ac:dyDescent="0.25">
      <c r="A1" s="1" t="s">
        <v>0</v>
      </c>
      <c r="B1" s="1" t="s">
        <v>10</v>
      </c>
      <c r="C1" s="1" t="s">
        <v>70</v>
      </c>
      <c r="D1" s="1" t="s">
        <v>71</v>
      </c>
      <c r="E1" s="1" t="s">
        <v>72</v>
      </c>
    </row>
    <row r="2" spans="1:5" x14ac:dyDescent="0.25">
      <c r="C2" t="s">
        <v>73</v>
      </c>
    </row>
  </sheetData>
  <conditionalFormatting sqref="D2:D1048576">
    <cfRule type="expression" dxfId="10" priority="1">
      <formula>AND(OR($C2="standard",$C2="short"), LEN($D2)&gt;60)</formula>
    </cfRule>
  </conditionalFormatting>
  <dataValidations count="3">
    <dataValidation type="list" allowBlank="1" showInputMessage="1" showErrorMessage="1" sqref="B2:B1048576" xr:uid="{3ABAD0B3-E6E5-4E95-9543-E0224AC05EB4}">
      <formula1>"Add, Modify, Delete"</formula1>
    </dataValidation>
    <dataValidation type="list" allowBlank="1" showInputMessage="1" showErrorMessage="1" sqref="C2:C1048576" xr:uid="{28B9CE6D-437D-4D91-8D79-1AB841FCE041}">
      <formula1>"Standard, Short, Marketing, Long"</formula1>
    </dataValidation>
    <dataValidation type="list" allowBlank="1" showInputMessage="1" showErrorMessage="1" sqref="E2:E1048576" xr:uid="{6C8A7ED6-0707-47E6-87EA-A7EF3422C43C}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"/>
  <sheetViews>
    <sheetView workbookViewId="0">
      <selection activeCell="D3" sqref="A2:D3"/>
    </sheetView>
  </sheetViews>
  <sheetFormatPr defaultRowHeight="15" x14ac:dyDescent="0.25"/>
  <cols>
    <col min="1" max="1" width="14.85546875" customWidth="1"/>
    <col min="2" max="2" width="32.140625" customWidth="1"/>
    <col min="3" max="3" width="20.7109375" customWidth="1"/>
    <col min="4" max="4" width="21.42578125" customWidth="1"/>
  </cols>
  <sheetData>
    <row r="1" spans="1:4" x14ac:dyDescent="0.25">
      <c r="A1" s="1" t="s">
        <v>9</v>
      </c>
      <c r="B1" s="1" t="s">
        <v>11</v>
      </c>
      <c r="C1" s="1" t="s">
        <v>74</v>
      </c>
      <c r="D1" s="1" t="s">
        <v>12</v>
      </c>
    </row>
  </sheetData>
  <dataValidations count="2">
    <dataValidation type="list" allowBlank="1" showInputMessage="1" showErrorMessage="1" sqref="B2:B1048576" xr:uid="{9C48DA30-F820-44F6-95F6-0404C342B59C}">
      <formula1>"Add, Modify, Delete"</formula1>
    </dataValidation>
    <dataValidation type="list" allowBlank="1" showInputMessage="1" showErrorMessage="1" sqref="C2:C1048576" xr:uid="{90C1D91F-7EEF-494D-ABA7-212FCBD75DD2}">
      <formula1>"COO, HSB, LIF, LIS, MSR, PLC, PLM, TAX"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1018E37-080D-4F5B-922B-74BC4319B9FE}">
            <xm:f>AND($C2="COO", ISERROR(MATCH($D2, CountryCodes!$B$3:$B$300, 0)))</xm:f>
            <x14:dxf>
              <fill>
                <patternFill>
                  <bgColor rgb="FFFF0000"/>
                </patternFill>
              </fill>
            </x14:dxf>
          </x14:cfRule>
          <xm:sqref>D2:D1048576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"/>
  <sheetViews>
    <sheetView workbookViewId="0">
      <selection activeCell="B2" sqref="B2"/>
    </sheetView>
  </sheetViews>
  <sheetFormatPr defaultRowHeight="15" x14ac:dyDescent="0.25"/>
  <cols>
    <col min="1" max="1" width="19.85546875" customWidth="1"/>
    <col min="2" max="2" width="25" customWidth="1"/>
    <col min="3" max="3" width="19.42578125" customWidth="1"/>
    <col min="4" max="4" width="21" customWidth="1"/>
  </cols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</sheetData>
  <dataValidations count="1">
    <dataValidation type="list" allowBlank="1" showInputMessage="1" showErrorMessage="1" sqref="B2:B1048576" xr:uid="{79A14911-966A-4FE4-946C-7EFC98D219F8}">
      <formula1>"Add, Modify, Delete"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"/>
  <sheetViews>
    <sheetView workbookViewId="0">
      <selection activeCell="E3" sqref="E3"/>
    </sheetView>
  </sheetViews>
  <sheetFormatPr defaultRowHeight="15" x14ac:dyDescent="0.25"/>
  <cols>
    <col min="1" max="1" width="15.42578125" customWidth="1"/>
    <col min="2" max="2" width="28" customWidth="1"/>
    <col min="3" max="3" width="17" customWidth="1"/>
    <col min="4" max="4" width="24" customWidth="1"/>
    <col min="5" max="5" width="21.42578125" customWidth="1"/>
  </cols>
  <sheetData>
    <row r="1" spans="1:5" x14ac:dyDescent="0.25">
      <c r="A1" s="1" t="s">
        <v>0</v>
      </c>
      <c r="B1" s="1" t="s">
        <v>16</v>
      </c>
      <c r="C1" s="1" t="s">
        <v>17</v>
      </c>
      <c r="D1" s="1" t="s">
        <v>79</v>
      </c>
      <c r="E1" s="1" t="s">
        <v>78</v>
      </c>
    </row>
  </sheetData>
  <dataValidations count="2">
    <dataValidation type="list" allowBlank="1" showInputMessage="1" showErrorMessage="1" sqref="B2:B1048576" xr:uid="{258BCD1E-EB99-40A2-B24D-3DB383097C15}">
      <formula1>"Add, Modify, Delete"</formula1>
    </dataValidation>
    <dataValidation type="list" allowBlank="1" showInputMessage="1" showErrorMessage="1" sqref="E2:E1048576" xr:uid="{BFF96F66-CE4B-4E67-BC86-1E0F657CA160}">
      <formula1>"Exact, Good, Compatible, 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1"/>
  <sheetViews>
    <sheetView workbookViewId="0">
      <selection activeCell="F6" sqref="F6"/>
    </sheetView>
  </sheetViews>
  <sheetFormatPr defaultRowHeight="15" x14ac:dyDescent="0.25"/>
  <cols>
    <col min="1" max="1" width="18.140625" customWidth="1"/>
    <col min="2" max="2" width="22.140625" customWidth="1"/>
    <col min="3" max="3" width="16.28515625" customWidth="1"/>
    <col min="4" max="4" width="29" customWidth="1"/>
    <col min="5" max="5" width="18.42578125" customWidth="1"/>
    <col min="6" max="6" width="10.42578125" customWidth="1"/>
    <col min="7" max="7" width="19.7109375" customWidth="1"/>
    <col min="8" max="8" width="15.28515625" customWidth="1"/>
    <col min="9" max="9" width="14" customWidth="1"/>
    <col min="10" max="10" width="13.42578125" customWidth="1"/>
    <col min="11" max="11" width="13.140625" customWidth="1"/>
    <col min="12" max="12" width="15.42578125" customWidth="1"/>
    <col min="13" max="13" width="15" customWidth="1"/>
  </cols>
  <sheetData>
    <row r="1" spans="1:13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</sheetData>
  <conditionalFormatting sqref="H2:H1048576">
    <cfRule type="expression" dxfId="8" priority="6">
      <formula>AND($H2&lt;&gt;"", NOT(ISNUMBER(--$H2)))</formula>
    </cfRule>
  </conditionalFormatting>
  <conditionalFormatting sqref="I2:I1048576">
    <cfRule type="expression" dxfId="7" priority="5">
      <formula>AND($I2&lt;&gt;"", NOT(ISNUMBER(--$I2)))</formula>
    </cfRule>
  </conditionalFormatting>
  <conditionalFormatting sqref="J2:J1048576">
    <cfRule type="expression" dxfId="6" priority="4">
      <formula>AND($J2&lt;&gt;"", NOT(ISNUMBER(--$J2)))</formula>
    </cfRule>
  </conditionalFormatting>
  <conditionalFormatting sqref="K2:K1048576">
    <cfRule type="expression" dxfId="5" priority="3">
      <formula>AND($K2&lt;&gt;"", NOT(ISNUMBER(--$K2)))</formula>
    </cfRule>
  </conditionalFormatting>
  <conditionalFormatting sqref="L2:L1048576">
    <cfRule type="expression" dxfId="4" priority="2">
      <formula>AND($L2&lt;&gt;"", NOT(ISNUMBER(--$L2)))</formula>
    </cfRule>
  </conditionalFormatting>
  <conditionalFormatting sqref="M2:M3 M5:M1048576">
    <cfRule type="expression" dxfId="3" priority="1">
      <formula>AND($M2&lt;&gt;"", NOT(ISNUMBER(--$M2)))</formula>
    </cfRule>
  </conditionalFormatting>
  <dataValidations count="4">
    <dataValidation type="list" allowBlank="1" showInputMessage="1" showErrorMessage="1" sqref="B2:B1048576" xr:uid="{CBD5FB75-A0A7-4554-AD44-F45AEEF51E3C}">
      <formula1>"Add, Modify, Delete"</formula1>
    </dataValidation>
    <dataValidation type="list" allowBlank="1" showInputMessage="1" showErrorMessage="1" sqref="C2:C1048576" xr:uid="{7677E571-DC3B-41E3-A179-E7C72FD3B463}">
      <formula1>"EA, BX, CS, PL"</formula1>
    </dataValidation>
    <dataValidation type="list" allowBlank="1" showInputMessage="1" showErrorMessage="1" sqref="E2:E1048576" xr:uid="{FFFA00CC-D896-4B1E-AA49-C7F8BCAE7091}">
      <formula1>"LB, KG, G, OZ"</formula1>
    </dataValidation>
    <dataValidation type="list" allowBlank="1" showInputMessage="1" showErrorMessage="1" sqref="G2:G1048576" xr:uid="{DF8DB054-F4FC-454E-AF1B-6029CA52A04D}">
      <formula1>"IN, CM, MM"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2"/>
  <sheetViews>
    <sheetView workbookViewId="0">
      <selection activeCell="C3" sqref="C3"/>
    </sheetView>
  </sheetViews>
  <sheetFormatPr defaultRowHeight="15" x14ac:dyDescent="0.25"/>
  <cols>
    <col min="1" max="1" width="15.5703125" customWidth="1"/>
    <col min="2" max="2" width="24.140625" customWidth="1"/>
    <col min="3" max="3" width="18.85546875" customWidth="1"/>
    <col min="4" max="4" width="11.5703125" customWidth="1"/>
    <col min="5" max="5" width="131.5703125" customWidth="1"/>
  </cols>
  <sheetData>
    <row r="1" spans="1:5" x14ac:dyDescent="0.25">
      <c r="A1" s="1" t="s">
        <v>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8</v>
      </c>
      <c r="B2" t="s">
        <v>80</v>
      </c>
      <c r="C2" t="s">
        <v>34</v>
      </c>
      <c r="D2" t="s">
        <v>35</v>
      </c>
      <c r="E2" t="s">
        <v>36</v>
      </c>
    </row>
  </sheetData>
  <dataValidations count="1">
    <dataValidation type="list" allowBlank="1" showInputMessage="1" showErrorMessage="1" sqref="B2:B1048576" xr:uid="{DB36D270-7A58-43FF-B489-941B70D6ADAD}">
      <formula1>"Add, Modify, Delete"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4"/>
  <sheetViews>
    <sheetView tabSelected="1" workbookViewId="0">
      <selection activeCell="H12" sqref="H12"/>
    </sheetView>
  </sheetViews>
  <sheetFormatPr defaultRowHeight="15" x14ac:dyDescent="0.25"/>
  <cols>
    <col min="1" max="1" width="16.7109375" customWidth="1"/>
    <col min="2" max="2" width="20.28515625" customWidth="1"/>
    <col min="3" max="3" width="16" customWidth="1"/>
    <col min="4" max="4" width="14.140625" customWidth="1"/>
    <col min="5" max="5" width="12.5703125" customWidth="1"/>
    <col min="6" max="6" width="21" customWidth="1"/>
    <col min="7" max="7" width="15.28515625" customWidth="1"/>
    <col min="8" max="8" width="13" style="3" customWidth="1"/>
    <col min="9" max="9" width="14.7109375" customWidth="1"/>
    <col min="10" max="10" width="14.42578125" style="3" customWidth="1"/>
    <col min="11" max="11" width="12" style="3" customWidth="1"/>
    <col min="12" max="12" width="16.140625" style="3" customWidth="1"/>
    <col min="13" max="13" width="15.140625" customWidth="1"/>
    <col min="14" max="14" width="14.140625" customWidth="1"/>
    <col min="15" max="15" width="13.7109375" style="6" customWidth="1"/>
    <col min="16" max="16" width="13.28515625" customWidth="1"/>
    <col min="17" max="17" width="11.28515625" customWidth="1"/>
    <col min="18" max="18" width="18.7109375" customWidth="1"/>
    <col min="19" max="19" width="12.85546875" customWidth="1"/>
  </cols>
  <sheetData>
    <row r="1" spans="1:20" s="1" customFormat="1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5" t="s">
        <v>81</v>
      </c>
      <c r="L1" s="5" t="s">
        <v>46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</row>
    <row r="2" spans="1:20" x14ac:dyDescent="0.25">
      <c r="P2" s="7"/>
      <c r="Q2" s="7"/>
    </row>
    <row r="4" spans="1:20" x14ac:dyDescent="0.25">
      <c r="P4" s="7"/>
    </row>
  </sheetData>
  <conditionalFormatting sqref="O2:O1048576">
    <cfRule type="expression" dxfId="2" priority="3">
      <formula>AND($O2&lt;&gt;"", OR(NOT(ISNUMBER($O2)), $O2&lt;TODAY()))</formula>
    </cfRule>
  </conditionalFormatting>
  <conditionalFormatting sqref="P2:P1048576">
    <cfRule type="expression" dxfId="1" priority="2">
      <formula>AND($P2&lt;&gt;"", OR(NOT(ISNUMBER($P2)), $P2&lt;TODAY()))</formula>
    </cfRule>
  </conditionalFormatting>
  <conditionalFormatting sqref="Q2:Q1048576">
    <cfRule type="expression" dxfId="0" priority="1">
      <formula>AND($Q2&lt;&gt;"", OR(NOT(ISNUMBER($Q2)), $Q2&lt;TODAY()))</formula>
    </cfRule>
  </conditionalFormatting>
  <dataValidations count="5">
    <dataValidation type="list" allowBlank="1" showInputMessage="1" showErrorMessage="1" sqref="B2:B1048576" xr:uid="{655A01A1-CCC8-42E2-8703-3EB42799D18B}">
      <formula1>"Net Cost Provided, Price Levels Provided, Discount Based Pricing, EHC-based pricing+$C$2, Promo Pricing, Quote Pricing, Tender Pricing, Core Pricing"</formula1>
    </dataValidation>
    <dataValidation type="list" allowBlank="1" showInputMessage="1" showErrorMessage="1" sqref="C2:C1048576" xr:uid="{6D5CCAD5-C94D-4D5D-9B1D-9C8DCB48C2C1}">
      <formula1>"CAD, USD"</formula1>
    </dataValidation>
    <dataValidation type="list" allowBlank="1" showInputMessage="1" showErrorMessage="1" sqref="D2:D1048576" xr:uid="{ACF16999-07F6-44F1-B3F5-FA3B7F2A4B38}">
      <formula1>"EA, PC, BOX, CS, PK, SET, RL, BG, BT, DZ"</formula1>
    </dataValidation>
    <dataValidation type="list" allowBlank="1" showInputMessage="1" showErrorMessage="1" sqref="F2:F1048576" xr:uid="{83FFF69A-5DBD-4B23-B361-4E53258A339C}">
      <formula1>"Add, Modify, Delete"</formula1>
    </dataValidation>
    <dataValidation type="list" allowBlank="1" showInputMessage="1" showErrorMessage="1" sqref="G2:G1048576" xr:uid="{6054D816-3A79-4100-BAC3-B993B5C69598}">
      <formula1>"Each, Case, Pallet, Bulk"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9AB5-6FE3-4135-9DAC-A88E20833ABE}">
  <sheetPr codeName="Sheet9"/>
  <dimension ref="A1:O1"/>
  <sheetViews>
    <sheetView workbookViewId="0">
      <selection activeCell="F18" sqref="F18"/>
    </sheetView>
  </sheetViews>
  <sheetFormatPr defaultRowHeight="15" x14ac:dyDescent="0.25"/>
  <cols>
    <col min="1" max="1" width="13.5703125" customWidth="1"/>
    <col min="2" max="2" width="19.5703125" customWidth="1"/>
    <col min="3" max="3" width="18.85546875" customWidth="1"/>
    <col min="4" max="4" width="18.140625" customWidth="1"/>
    <col min="5" max="5" width="17.7109375" customWidth="1"/>
    <col min="6" max="6" width="17.28515625" customWidth="1"/>
    <col min="7" max="7" width="14.140625" customWidth="1"/>
    <col min="8" max="8" width="14.28515625" customWidth="1"/>
    <col min="9" max="9" width="15.28515625" customWidth="1"/>
    <col min="10" max="10" width="17.28515625" customWidth="1"/>
    <col min="11" max="11" width="17.7109375" customWidth="1"/>
    <col min="12" max="13" width="13.140625" customWidth="1"/>
    <col min="14" max="14" width="11.85546875" customWidth="1"/>
    <col min="15" max="15" width="14" customWidth="1"/>
  </cols>
  <sheetData>
    <row r="1" spans="1:15" x14ac:dyDescent="0.25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FCBF-33ED-4AA6-BD9C-C79EA941CCDD}">
  <sheetPr codeName="Sheet10"/>
  <dimension ref="A1:B244"/>
  <sheetViews>
    <sheetView workbookViewId="0">
      <selection activeCell="B28" sqref="B28"/>
    </sheetView>
  </sheetViews>
  <sheetFormatPr defaultRowHeight="15" x14ac:dyDescent="0.25"/>
  <cols>
    <col min="1" max="1" width="32.85546875" customWidth="1"/>
    <col min="2" max="2" width="53.42578125" customWidth="1"/>
  </cols>
  <sheetData>
    <row r="1" spans="1:2" x14ac:dyDescent="0.25">
      <c r="A1" s="4" t="s">
        <v>75</v>
      </c>
      <c r="B1" s="4"/>
    </row>
    <row r="2" spans="1:2" x14ac:dyDescent="0.25">
      <c r="A2" s="4" t="s">
        <v>76</v>
      </c>
      <c r="B2" s="4" t="s">
        <v>77</v>
      </c>
    </row>
    <row r="3" spans="1:2" x14ac:dyDescent="0.25">
      <c r="A3" s="4" t="str">
        <f>"AF"</f>
        <v>AF</v>
      </c>
      <c r="B3" s="4" t="str">
        <f>"AFGHANISTAN"</f>
        <v>AFGHANISTAN</v>
      </c>
    </row>
    <row r="4" spans="1:2" x14ac:dyDescent="0.25">
      <c r="A4" s="4" t="str">
        <f>"AL"</f>
        <v>AL</v>
      </c>
      <c r="B4" s="4" t="str">
        <f>"ALBANIA"</f>
        <v>ALBANIA</v>
      </c>
    </row>
    <row r="5" spans="1:2" x14ac:dyDescent="0.25">
      <c r="A5" s="4" t="str">
        <f>"DZ"</f>
        <v>DZ</v>
      </c>
      <c r="B5" s="4" t="str">
        <f>"ALGERIA"</f>
        <v>ALGERIA</v>
      </c>
    </row>
    <row r="6" spans="1:2" x14ac:dyDescent="0.25">
      <c r="A6" s="4" t="str">
        <f>"AS"</f>
        <v>AS</v>
      </c>
      <c r="B6" s="4" t="str">
        <f>"AMERICAN SAMOA"</f>
        <v>AMERICAN SAMOA</v>
      </c>
    </row>
    <row r="7" spans="1:2" x14ac:dyDescent="0.25">
      <c r="A7" s="4" t="str">
        <f>"AD"</f>
        <v>AD</v>
      </c>
      <c r="B7" s="4" t="str">
        <f>"ANDORRA"</f>
        <v>ANDORRA</v>
      </c>
    </row>
    <row r="8" spans="1:2" x14ac:dyDescent="0.25">
      <c r="A8" s="4" t="str">
        <f>"AO"</f>
        <v>AO</v>
      </c>
      <c r="B8" s="4" t="str">
        <f>"ANGOLA"</f>
        <v>ANGOLA</v>
      </c>
    </row>
    <row r="9" spans="1:2" x14ac:dyDescent="0.25">
      <c r="A9" s="4" t="str">
        <f>"AI"</f>
        <v>AI</v>
      </c>
      <c r="B9" s="4" t="str">
        <f>"ANGUILLA"</f>
        <v>ANGUILLA</v>
      </c>
    </row>
    <row r="10" spans="1:2" x14ac:dyDescent="0.25">
      <c r="A10" s="4" t="str">
        <f>"AQ"</f>
        <v>AQ</v>
      </c>
      <c r="B10" s="4" t="str">
        <f>"ANTARCTICA"</f>
        <v>ANTARCTICA</v>
      </c>
    </row>
    <row r="11" spans="1:2" x14ac:dyDescent="0.25">
      <c r="A11" s="4" t="str">
        <f>"AG"</f>
        <v>AG</v>
      </c>
      <c r="B11" s="4" t="str">
        <f>"ANTIGUA AND BARBUDA"</f>
        <v>ANTIGUA AND BARBUDA</v>
      </c>
    </row>
    <row r="12" spans="1:2" x14ac:dyDescent="0.25">
      <c r="A12" s="4" t="str">
        <f>"AR"</f>
        <v>AR</v>
      </c>
      <c r="B12" s="4" t="str">
        <f>"ARGENTINA"</f>
        <v>ARGENTINA</v>
      </c>
    </row>
    <row r="13" spans="1:2" x14ac:dyDescent="0.25">
      <c r="A13" s="4" t="str">
        <f>"AM"</f>
        <v>AM</v>
      </c>
      <c r="B13" s="4" t="str">
        <f>"ARMENIA"</f>
        <v>ARMENIA</v>
      </c>
    </row>
    <row r="14" spans="1:2" x14ac:dyDescent="0.25">
      <c r="A14" s="4" t="str">
        <f>"AW"</f>
        <v>AW</v>
      </c>
      <c r="B14" s="4" t="str">
        <f>"ARUBA"</f>
        <v>ARUBA</v>
      </c>
    </row>
    <row r="15" spans="1:2" x14ac:dyDescent="0.25">
      <c r="A15" s="4" t="str">
        <f>"AU"</f>
        <v>AU</v>
      </c>
      <c r="B15" s="4" t="str">
        <f>"AUSTRALIA"</f>
        <v>AUSTRALIA</v>
      </c>
    </row>
    <row r="16" spans="1:2" x14ac:dyDescent="0.25">
      <c r="A16" s="4" t="str">
        <f>"AT"</f>
        <v>AT</v>
      </c>
      <c r="B16" s="4" t="str">
        <f>"AUSTRIA"</f>
        <v>AUSTRIA</v>
      </c>
    </row>
    <row r="17" spans="1:2" x14ac:dyDescent="0.25">
      <c r="A17" s="4" t="str">
        <f>"AZ"</f>
        <v>AZ</v>
      </c>
      <c r="B17" s="4" t="str">
        <f>"AZERBAIJAN"</f>
        <v>AZERBAIJAN</v>
      </c>
    </row>
    <row r="18" spans="1:2" x14ac:dyDescent="0.25">
      <c r="A18" s="4" t="str">
        <f>"BS"</f>
        <v>BS</v>
      </c>
      <c r="B18" s="4" t="str">
        <f>"BAHAMAS"</f>
        <v>BAHAMAS</v>
      </c>
    </row>
    <row r="19" spans="1:2" x14ac:dyDescent="0.25">
      <c r="A19" s="4" t="str">
        <f>"BH"</f>
        <v>BH</v>
      </c>
      <c r="B19" s="4" t="str">
        <f>"BAHRAIN"</f>
        <v>BAHRAIN</v>
      </c>
    </row>
    <row r="20" spans="1:2" x14ac:dyDescent="0.25">
      <c r="A20" s="4" t="str">
        <f>"BD"</f>
        <v>BD</v>
      </c>
      <c r="B20" s="4" t="str">
        <f>"BANGLADESH"</f>
        <v>BANGLADESH</v>
      </c>
    </row>
    <row r="21" spans="1:2" x14ac:dyDescent="0.25">
      <c r="A21" s="4" t="str">
        <f>"BB"</f>
        <v>BB</v>
      </c>
      <c r="B21" s="4" t="str">
        <f>"BARBADOS"</f>
        <v>BARBADOS</v>
      </c>
    </row>
    <row r="22" spans="1:2" x14ac:dyDescent="0.25">
      <c r="A22" s="4" t="str">
        <f>"BY"</f>
        <v>BY</v>
      </c>
      <c r="B22" s="4" t="str">
        <f>"BELARUS"</f>
        <v>BELARUS</v>
      </c>
    </row>
    <row r="23" spans="1:2" x14ac:dyDescent="0.25">
      <c r="A23" s="4" t="str">
        <f>"BE"</f>
        <v>BE</v>
      </c>
      <c r="B23" s="4" t="str">
        <f>"BELGIUM"</f>
        <v>BELGIUM</v>
      </c>
    </row>
    <row r="24" spans="1:2" x14ac:dyDescent="0.25">
      <c r="A24" s="4" t="str">
        <f>"BZ"</f>
        <v>BZ</v>
      </c>
      <c r="B24" s="4" t="str">
        <f>"BELIZE"</f>
        <v>BELIZE</v>
      </c>
    </row>
    <row r="25" spans="1:2" x14ac:dyDescent="0.25">
      <c r="A25" s="4" t="str">
        <f>"BJ"</f>
        <v>BJ</v>
      </c>
      <c r="B25" s="4" t="str">
        <f>"BENIN"</f>
        <v>BENIN</v>
      </c>
    </row>
    <row r="26" spans="1:2" x14ac:dyDescent="0.25">
      <c r="A26" s="4" t="str">
        <f>"BM"</f>
        <v>BM</v>
      </c>
      <c r="B26" s="4" t="str">
        <f>"BERMUDA"</f>
        <v>BERMUDA</v>
      </c>
    </row>
    <row r="27" spans="1:2" x14ac:dyDescent="0.25">
      <c r="A27" s="4" t="str">
        <f>"BT"</f>
        <v>BT</v>
      </c>
      <c r="B27" s="4" t="str">
        <f>"BHUTAN"</f>
        <v>BHUTAN</v>
      </c>
    </row>
    <row r="28" spans="1:2" x14ac:dyDescent="0.25">
      <c r="A28" s="4" t="str">
        <f>"BO"</f>
        <v>BO</v>
      </c>
      <c r="B28" s="4" t="str">
        <f>"BOLIVIA"</f>
        <v>BOLIVIA</v>
      </c>
    </row>
    <row r="29" spans="1:2" x14ac:dyDescent="0.25">
      <c r="A29" s="4" t="str">
        <f>"BA"</f>
        <v>BA</v>
      </c>
      <c r="B29" s="4" t="str">
        <f>"BOSNIA AND HERZEGOVINA"</f>
        <v>BOSNIA AND HERZEGOVINA</v>
      </c>
    </row>
    <row r="30" spans="1:2" x14ac:dyDescent="0.25">
      <c r="A30" s="4" t="str">
        <f>"BW"</f>
        <v>BW</v>
      </c>
      <c r="B30" s="4" t="str">
        <f>"BOTSWANA"</f>
        <v>BOTSWANA</v>
      </c>
    </row>
    <row r="31" spans="1:2" x14ac:dyDescent="0.25">
      <c r="A31" s="4" t="str">
        <f>"BR"</f>
        <v>BR</v>
      </c>
      <c r="B31" s="4" t="str">
        <f>"BRAZIL"</f>
        <v>BRAZIL</v>
      </c>
    </row>
    <row r="32" spans="1:2" x14ac:dyDescent="0.25">
      <c r="A32" s="4" t="str">
        <f>"IO"</f>
        <v>IO</v>
      </c>
      <c r="B32" s="4" t="str">
        <f>"BRITISH INDIAN OCEAN TERRITORY"</f>
        <v>BRITISH INDIAN OCEAN TERRITORY</v>
      </c>
    </row>
    <row r="33" spans="1:2" x14ac:dyDescent="0.25">
      <c r="A33" s="4" t="str">
        <f>"VG"</f>
        <v>VG</v>
      </c>
      <c r="B33" s="4" t="str">
        <f>"BRITISH VIRGIN ISLANDS"</f>
        <v>BRITISH VIRGIN ISLANDS</v>
      </c>
    </row>
    <row r="34" spans="1:2" x14ac:dyDescent="0.25">
      <c r="A34" s="4" t="str">
        <f>"BN"</f>
        <v>BN</v>
      </c>
      <c r="B34" s="4" t="str">
        <f>"BRUNEI"</f>
        <v>BRUNEI</v>
      </c>
    </row>
    <row r="35" spans="1:2" x14ac:dyDescent="0.25">
      <c r="A35" s="4" t="str">
        <f>"BG"</f>
        <v>BG</v>
      </c>
      <c r="B35" s="4" t="str">
        <f>"BULGARIA"</f>
        <v>BULGARIA</v>
      </c>
    </row>
    <row r="36" spans="1:2" x14ac:dyDescent="0.25">
      <c r="A36" s="4" t="str">
        <f>"BF"</f>
        <v>BF</v>
      </c>
      <c r="B36" s="4" t="str">
        <f>"BURKINA FASO"</f>
        <v>BURKINA FASO</v>
      </c>
    </row>
    <row r="37" spans="1:2" x14ac:dyDescent="0.25">
      <c r="A37" s="4" t="str">
        <f>"BI"</f>
        <v>BI</v>
      </c>
      <c r="B37" s="4" t="str">
        <f>"BURUNDI"</f>
        <v>BURUNDI</v>
      </c>
    </row>
    <row r="38" spans="1:2" x14ac:dyDescent="0.25">
      <c r="A38" s="4" t="str">
        <f>"KH"</f>
        <v>KH</v>
      </c>
      <c r="B38" s="4" t="str">
        <f>"CAMBODIA"</f>
        <v>CAMBODIA</v>
      </c>
    </row>
    <row r="39" spans="1:2" x14ac:dyDescent="0.25">
      <c r="A39" s="4" t="str">
        <f>"CM"</f>
        <v>CM</v>
      </c>
      <c r="B39" s="4" t="str">
        <f>"CAMEROON"</f>
        <v>CAMEROON</v>
      </c>
    </row>
    <row r="40" spans="1:2" x14ac:dyDescent="0.25">
      <c r="A40" s="4" t="str">
        <f>"CA"</f>
        <v>CA</v>
      </c>
      <c r="B40" s="4" t="str">
        <f>"CANADA"</f>
        <v>CANADA</v>
      </c>
    </row>
    <row r="41" spans="1:2" x14ac:dyDescent="0.25">
      <c r="A41" s="4" t="str">
        <f>"CV"</f>
        <v>CV</v>
      </c>
      <c r="B41" s="4" t="str">
        <f>"CAPE VERDE"</f>
        <v>CAPE VERDE</v>
      </c>
    </row>
    <row r="42" spans="1:2" x14ac:dyDescent="0.25">
      <c r="A42" s="4" t="str">
        <f>"KY"</f>
        <v>KY</v>
      </c>
      <c r="B42" s="4" t="str">
        <f>"CAYMAN ISLANDS"</f>
        <v>CAYMAN ISLANDS</v>
      </c>
    </row>
    <row r="43" spans="1:2" x14ac:dyDescent="0.25">
      <c r="A43" s="4" t="str">
        <f>"CF"</f>
        <v>CF</v>
      </c>
      <c r="B43" s="4" t="str">
        <f>"CENTRAL AFRICAN REPUBLIC"</f>
        <v>CENTRAL AFRICAN REPUBLIC</v>
      </c>
    </row>
    <row r="44" spans="1:2" x14ac:dyDescent="0.25">
      <c r="A44" s="4" t="str">
        <f>"TD"</f>
        <v>TD</v>
      </c>
      <c r="B44" s="4" t="str">
        <f>"CHAD"</f>
        <v>CHAD</v>
      </c>
    </row>
    <row r="45" spans="1:2" x14ac:dyDescent="0.25">
      <c r="A45" s="4" t="str">
        <f>"CL"</f>
        <v>CL</v>
      </c>
      <c r="B45" s="4" t="str">
        <f>"CHILE"</f>
        <v>CHILE</v>
      </c>
    </row>
    <row r="46" spans="1:2" x14ac:dyDescent="0.25">
      <c r="A46" s="4" t="str">
        <f>"CN"</f>
        <v>CN</v>
      </c>
      <c r="B46" s="4" t="str">
        <f>"CHINA"</f>
        <v>CHINA</v>
      </c>
    </row>
    <row r="47" spans="1:2" x14ac:dyDescent="0.25">
      <c r="A47" s="4" t="str">
        <f>"CX"</f>
        <v>CX</v>
      </c>
      <c r="B47" s="4" t="str">
        <f>"CHRISTMAS ISLAND"</f>
        <v>CHRISTMAS ISLAND</v>
      </c>
    </row>
    <row r="48" spans="1:2" x14ac:dyDescent="0.25">
      <c r="A48" s="4" t="str">
        <f>"CC"</f>
        <v>CC</v>
      </c>
      <c r="B48" s="4" t="str">
        <f>"COCOS ISLANDS"</f>
        <v>COCOS ISLANDS</v>
      </c>
    </row>
    <row r="49" spans="1:2" x14ac:dyDescent="0.25">
      <c r="A49" s="4" t="str">
        <f>"CO"</f>
        <v>CO</v>
      </c>
      <c r="B49" s="4" t="str">
        <f>"COLOMBIA"</f>
        <v>COLOMBIA</v>
      </c>
    </row>
    <row r="50" spans="1:2" x14ac:dyDescent="0.25">
      <c r="A50" s="4" t="str">
        <f>"KM"</f>
        <v>KM</v>
      </c>
      <c r="B50" s="4" t="str">
        <f>"COMOROS"</f>
        <v>COMOROS</v>
      </c>
    </row>
    <row r="51" spans="1:2" x14ac:dyDescent="0.25">
      <c r="A51" s="4" t="str">
        <f>"CK"</f>
        <v>CK</v>
      </c>
      <c r="B51" s="4" t="str">
        <f>"COOK ISLANDS"</f>
        <v>COOK ISLANDS</v>
      </c>
    </row>
    <row r="52" spans="1:2" x14ac:dyDescent="0.25">
      <c r="A52" s="4" t="str">
        <f>"CR"</f>
        <v>CR</v>
      </c>
      <c r="B52" s="4" t="str">
        <f>"COSTA RICA"</f>
        <v>COSTA RICA</v>
      </c>
    </row>
    <row r="53" spans="1:2" x14ac:dyDescent="0.25">
      <c r="A53" s="4" t="str">
        <f>"HR"</f>
        <v>HR</v>
      </c>
      <c r="B53" s="4" t="str">
        <f>"CROATIA"</f>
        <v>CROATIA</v>
      </c>
    </row>
    <row r="54" spans="1:2" x14ac:dyDescent="0.25">
      <c r="A54" s="4" t="str">
        <f>"CU"</f>
        <v>CU</v>
      </c>
      <c r="B54" s="4" t="str">
        <f>"CUBA"</f>
        <v>CUBA</v>
      </c>
    </row>
    <row r="55" spans="1:2" x14ac:dyDescent="0.25">
      <c r="A55" s="4" t="str">
        <f>"CW"</f>
        <v>CW</v>
      </c>
      <c r="B55" s="4" t="str">
        <f>"CURACAO"</f>
        <v>CURACAO</v>
      </c>
    </row>
    <row r="56" spans="1:2" x14ac:dyDescent="0.25">
      <c r="A56" s="4" t="str">
        <f>"CY"</f>
        <v>CY</v>
      </c>
      <c r="B56" s="4" t="str">
        <f>"CYPRUS"</f>
        <v>CYPRUS</v>
      </c>
    </row>
    <row r="57" spans="1:2" x14ac:dyDescent="0.25">
      <c r="A57" s="4" t="str">
        <f>"CZ"</f>
        <v>CZ</v>
      </c>
      <c r="B57" s="4" t="str">
        <f>"CZECH REPUBLIC"</f>
        <v>CZECH REPUBLIC</v>
      </c>
    </row>
    <row r="58" spans="1:2" x14ac:dyDescent="0.25">
      <c r="A58" s="4" t="str">
        <f>"CD"</f>
        <v>CD</v>
      </c>
      <c r="B58" s="4" t="str">
        <f>"DEMOCRATIC REPUBLIC OF THE CONGO"</f>
        <v>DEMOCRATIC REPUBLIC OF THE CONGO</v>
      </c>
    </row>
    <row r="59" spans="1:2" x14ac:dyDescent="0.25">
      <c r="A59" s="4" t="str">
        <f>"DK"</f>
        <v>DK</v>
      </c>
      <c r="B59" s="4" t="str">
        <f>"DENMARK"</f>
        <v>DENMARK</v>
      </c>
    </row>
    <row r="60" spans="1:2" x14ac:dyDescent="0.25">
      <c r="A60" s="4" t="str">
        <f>"DJ"</f>
        <v>DJ</v>
      </c>
      <c r="B60" s="4" t="str">
        <f>"DJIBOUTI"</f>
        <v>DJIBOUTI</v>
      </c>
    </row>
    <row r="61" spans="1:2" x14ac:dyDescent="0.25">
      <c r="A61" s="4" t="str">
        <f>"DM"</f>
        <v>DM</v>
      </c>
      <c r="B61" s="4" t="str">
        <f>"DOMINICA"</f>
        <v>DOMINICA</v>
      </c>
    </row>
    <row r="62" spans="1:2" x14ac:dyDescent="0.25">
      <c r="A62" s="4" t="str">
        <f>"DO"</f>
        <v>DO</v>
      </c>
      <c r="B62" s="4" t="str">
        <f>"DOMINICAN REPUBLIC"</f>
        <v>DOMINICAN REPUBLIC</v>
      </c>
    </row>
    <row r="63" spans="1:2" x14ac:dyDescent="0.25">
      <c r="A63" s="4" t="str">
        <f>"TL"</f>
        <v>TL</v>
      </c>
      <c r="B63" s="4" t="str">
        <f>"EAST TIMOR"</f>
        <v>EAST TIMOR</v>
      </c>
    </row>
    <row r="64" spans="1:2" x14ac:dyDescent="0.25">
      <c r="A64" s="4" t="str">
        <f>"EC"</f>
        <v>EC</v>
      </c>
      <c r="B64" s="4" t="str">
        <f>"ECUADOR"</f>
        <v>ECUADOR</v>
      </c>
    </row>
    <row r="65" spans="1:2" x14ac:dyDescent="0.25">
      <c r="A65" s="4" t="str">
        <f>"EG"</f>
        <v>EG</v>
      </c>
      <c r="B65" s="4" t="str">
        <f>"EGYPT"</f>
        <v>EGYPT</v>
      </c>
    </row>
    <row r="66" spans="1:2" x14ac:dyDescent="0.25">
      <c r="A66" s="4" t="str">
        <f>"SV"</f>
        <v>SV</v>
      </c>
      <c r="B66" s="4" t="str">
        <f>"EL SALVADOR"</f>
        <v>EL SALVADOR</v>
      </c>
    </row>
    <row r="67" spans="1:2" x14ac:dyDescent="0.25">
      <c r="A67" s="4" t="str">
        <f>"GQ"</f>
        <v>GQ</v>
      </c>
      <c r="B67" s="4" t="str">
        <f>"EQUATORIAL GUINEA"</f>
        <v>EQUATORIAL GUINEA</v>
      </c>
    </row>
    <row r="68" spans="1:2" x14ac:dyDescent="0.25">
      <c r="A68" s="4" t="str">
        <f>"ER"</f>
        <v>ER</v>
      </c>
      <c r="B68" s="4" t="str">
        <f>"ERITREA"</f>
        <v>ERITREA</v>
      </c>
    </row>
    <row r="69" spans="1:2" x14ac:dyDescent="0.25">
      <c r="A69" s="4" t="str">
        <f>"EE"</f>
        <v>EE</v>
      </c>
      <c r="B69" s="4" t="str">
        <f>"ESTONIA"</f>
        <v>ESTONIA</v>
      </c>
    </row>
    <row r="70" spans="1:2" x14ac:dyDescent="0.25">
      <c r="A70" s="4" t="str">
        <f>"ET"</f>
        <v>ET</v>
      </c>
      <c r="B70" s="4" t="str">
        <f>"ETHIOPIA"</f>
        <v>ETHIOPIA</v>
      </c>
    </row>
    <row r="71" spans="1:2" x14ac:dyDescent="0.25">
      <c r="A71" s="4" t="str">
        <f>"FK"</f>
        <v>FK</v>
      </c>
      <c r="B71" s="4" t="str">
        <f>"FALKLAND ISLANDS"</f>
        <v>FALKLAND ISLANDS</v>
      </c>
    </row>
    <row r="72" spans="1:2" x14ac:dyDescent="0.25">
      <c r="A72" s="4" t="str">
        <f>"FO"</f>
        <v>FO</v>
      </c>
      <c r="B72" s="4" t="str">
        <f>"FAROE ISLANDS"</f>
        <v>FAROE ISLANDS</v>
      </c>
    </row>
    <row r="73" spans="1:2" x14ac:dyDescent="0.25">
      <c r="A73" s="4" t="str">
        <f>"FJ"</f>
        <v>FJ</v>
      </c>
      <c r="B73" s="4" t="str">
        <f>"FIJI"</f>
        <v>FIJI</v>
      </c>
    </row>
    <row r="74" spans="1:2" x14ac:dyDescent="0.25">
      <c r="A74" s="4" t="str">
        <f>"FI"</f>
        <v>FI</v>
      </c>
      <c r="B74" s="4" t="str">
        <f>"FINLAND"</f>
        <v>FINLAND</v>
      </c>
    </row>
    <row r="75" spans="1:2" x14ac:dyDescent="0.25">
      <c r="A75" s="4" t="str">
        <f>"FR"</f>
        <v>FR</v>
      </c>
      <c r="B75" s="4" t="str">
        <f>"FRANCE"</f>
        <v>FRANCE</v>
      </c>
    </row>
    <row r="76" spans="1:2" x14ac:dyDescent="0.25">
      <c r="A76" s="4" t="str">
        <f>"PF"</f>
        <v>PF</v>
      </c>
      <c r="B76" s="4" t="str">
        <f>"FRENCH POLYNESIA"</f>
        <v>FRENCH POLYNESIA</v>
      </c>
    </row>
    <row r="77" spans="1:2" x14ac:dyDescent="0.25">
      <c r="A77" s="4" t="str">
        <f>"GA"</f>
        <v>GA</v>
      </c>
      <c r="B77" s="4" t="str">
        <f>"GABON"</f>
        <v>GABON</v>
      </c>
    </row>
    <row r="78" spans="1:2" x14ac:dyDescent="0.25">
      <c r="A78" s="4" t="str">
        <f>"GM"</f>
        <v>GM</v>
      </c>
      <c r="B78" s="4" t="str">
        <f>"GAMBIA"</f>
        <v>GAMBIA</v>
      </c>
    </row>
    <row r="79" spans="1:2" x14ac:dyDescent="0.25">
      <c r="A79" s="4" t="str">
        <f>"GE"</f>
        <v>GE</v>
      </c>
      <c r="B79" s="4" t="str">
        <f>"GEORGIA"</f>
        <v>GEORGIA</v>
      </c>
    </row>
    <row r="80" spans="1:2" x14ac:dyDescent="0.25">
      <c r="A80" s="4" t="str">
        <f>"DE"</f>
        <v>DE</v>
      </c>
      <c r="B80" s="4" t="str">
        <f>"GERMANY"</f>
        <v>GERMANY</v>
      </c>
    </row>
    <row r="81" spans="1:2" x14ac:dyDescent="0.25">
      <c r="A81" s="4" t="str">
        <f>"GH"</f>
        <v>GH</v>
      </c>
      <c r="B81" s="4" t="str">
        <f>"GHANA"</f>
        <v>GHANA</v>
      </c>
    </row>
    <row r="82" spans="1:2" x14ac:dyDescent="0.25">
      <c r="A82" s="4" t="str">
        <f>"GI"</f>
        <v>GI</v>
      </c>
      <c r="B82" s="4" t="str">
        <f>"GIBRALTAR"</f>
        <v>GIBRALTAR</v>
      </c>
    </row>
    <row r="83" spans="1:2" x14ac:dyDescent="0.25">
      <c r="A83" s="4" t="str">
        <f>"GR"</f>
        <v>GR</v>
      </c>
      <c r="B83" s="4" t="str">
        <f>"GREECE"</f>
        <v>GREECE</v>
      </c>
    </row>
    <row r="84" spans="1:2" x14ac:dyDescent="0.25">
      <c r="A84" s="4" t="str">
        <f>"GL"</f>
        <v>GL</v>
      </c>
      <c r="B84" s="4" t="str">
        <f>"GREENLAND"</f>
        <v>GREENLAND</v>
      </c>
    </row>
    <row r="85" spans="1:2" x14ac:dyDescent="0.25">
      <c r="A85" s="4" t="str">
        <f>"GD"</f>
        <v>GD</v>
      </c>
      <c r="B85" s="4" t="str">
        <f>"GRENADA"</f>
        <v>GRENADA</v>
      </c>
    </row>
    <row r="86" spans="1:2" x14ac:dyDescent="0.25">
      <c r="A86" s="4" t="str">
        <f>"GU"</f>
        <v>GU</v>
      </c>
      <c r="B86" s="4" t="str">
        <f>"GUAM"</f>
        <v>GUAM</v>
      </c>
    </row>
    <row r="87" spans="1:2" x14ac:dyDescent="0.25">
      <c r="A87" s="4" t="str">
        <f>"GT"</f>
        <v>GT</v>
      </c>
      <c r="B87" s="4" t="str">
        <f>"GUATEMALA"</f>
        <v>GUATEMALA</v>
      </c>
    </row>
    <row r="88" spans="1:2" x14ac:dyDescent="0.25">
      <c r="A88" s="4" t="str">
        <f>"GG"</f>
        <v>GG</v>
      </c>
      <c r="B88" s="4" t="str">
        <f>"GUERNSEY"</f>
        <v>GUERNSEY</v>
      </c>
    </row>
    <row r="89" spans="1:2" x14ac:dyDescent="0.25">
      <c r="A89" s="4" t="str">
        <f>"GN"</f>
        <v>GN</v>
      </c>
      <c r="B89" s="4" t="str">
        <f>"GUINEA"</f>
        <v>GUINEA</v>
      </c>
    </row>
    <row r="90" spans="1:2" x14ac:dyDescent="0.25">
      <c r="A90" s="4" t="str">
        <f>"GW"</f>
        <v>GW</v>
      </c>
      <c r="B90" s="4" t="str">
        <f>"GUINEA-BISSAU"</f>
        <v>GUINEA-BISSAU</v>
      </c>
    </row>
    <row r="91" spans="1:2" x14ac:dyDescent="0.25">
      <c r="A91" s="4" t="str">
        <f>"GY"</f>
        <v>GY</v>
      </c>
      <c r="B91" s="4" t="str">
        <f>"GUYANA"</f>
        <v>GUYANA</v>
      </c>
    </row>
    <row r="92" spans="1:2" x14ac:dyDescent="0.25">
      <c r="A92" s="4" t="str">
        <f>"HT"</f>
        <v>HT</v>
      </c>
      <c r="B92" s="4" t="str">
        <f>"HAITI"</f>
        <v>HAITI</v>
      </c>
    </row>
    <row r="93" spans="1:2" x14ac:dyDescent="0.25">
      <c r="A93" s="4" t="str">
        <f>"HN"</f>
        <v>HN</v>
      </c>
      <c r="B93" s="4" t="str">
        <f>"HONDURAS"</f>
        <v>HONDURAS</v>
      </c>
    </row>
    <row r="94" spans="1:2" x14ac:dyDescent="0.25">
      <c r="A94" s="4" t="str">
        <f>"HK"</f>
        <v>HK</v>
      </c>
      <c r="B94" s="4" t="str">
        <f>"HONG KONG"</f>
        <v>HONG KONG</v>
      </c>
    </row>
    <row r="95" spans="1:2" x14ac:dyDescent="0.25">
      <c r="A95" s="4" t="str">
        <f>"HU"</f>
        <v>HU</v>
      </c>
      <c r="B95" s="4" t="str">
        <f>"HUNGARY"</f>
        <v>HUNGARY</v>
      </c>
    </row>
    <row r="96" spans="1:2" x14ac:dyDescent="0.25">
      <c r="A96" s="4" t="str">
        <f>"IS"</f>
        <v>IS</v>
      </c>
      <c r="B96" s="4" t="str">
        <f>"ICELAND"</f>
        <v>ICELAND</v>
      </c>
    </row>
    <row r="97" spans="1:2" x14ac:dyDescent="0.25">
      <c r="A97" s="4" t="str">
        <f>"IN"</f>
        <v>IN</v>
      </c>
      <c r="B97" s="4" t="str">
        <f>"INDIA"</f>
        <v>INDIA</v>
      </c>
    </row>
    <row r="98" spans="1:2" x14ac:dyDescent="0.25">
      <c r="A98" s="4" t="str">
        <f>"ID"</f>
        <v>ID</v>
      </c>
      <c r="B98" s="4" t="str">
        <f>"INDONESIA"</f>
        <v>INDONESIA</v>
      </c>
    </row>
    <row r="99" spans="1:2" x14ac:dyDescent="0.25">
      <c r="A99" s="4" t="str">
        <f>"IR"</f>
        <v>IR</v>
      </c>
      <c r="B99" s="4" t="str">
        <f>"IRAN"</f>
        <v>IRAN</v>
      </c>
    </row>
    <row r="100" spans="1:2" x14ac:dyDescent="0.25">
      <c r="A100" s="4" t="str">
        <f>"IQ"</f>
        <v>IQ</v>
      </c>
      <c r="B100" s="4" t="str">
        <f>"IRAQ"</f>
        <v>IRAQ</v>
      </c>
    </row>
    <row r="101" spans="1:2" x14ac:dyDescent="0.25">
      <c r="A101" s="4" t="str">
        <f>"IE"</f>
        <v>IE</v>
      </c>
      <c r="B101" s="4" t="str">
        <f>"IRELAND"</f>
        <v>IRELAND</v>
      </c>
    </row>
    <row r="102" spans="1:2" x14ac:dyDescent="0.25">
      <c r="A102" s="4" t="str">
        <f>"IM"</f>
        <v>IM</v>
      </c>
      <c r="B102" s="4" t="str">
        <f>"ISLE OF MAN"</f>
        <v>ISLE OF MAN</v>
      </c>
    </row>
    <row r="103" spans="1:2" x14ac:dyDescent="0.25">
      <c r="A103" s="4" t="str">
        <f>"IL"</f>
        <v>IL</v>
      </c>
      <c r="B103" s="4" t="str">
        <f>"ISRAEL"</f>
        <v>ISRAEL</v>
      </c>
    </row>
    <row r="104" spans="1:2" x14ac:dyDescent="0.25">
      <c r="A104" s="4" t="str">
        <f>"IT"</f>
        <v>IT</v>
      </c>
      <c r="B104" s="4" t="str">
        <f>"ITALY"</f>
        <v>ITALY</v>
      </c>
    </row>
    <row r="105" spans="1:2" x14ac:dyDescent="0.25">
      <c r="A105" s="4" t="str">
        <f>"CI"</f>
        <v>CI</v>
      </c>
      <c r="B105" s="4" t="str">
        <f>"IVORY COAST"</f>
        <v>IVORY COAST</v>
      </c>
    </row>
    <row r="106" spans="1:2" x14ac:dyDescent="0.25">
      <c r="A106" s="4" t="str">
        <f>"JM"</f>
        <v>JM</v>
      </c>
      <c r="B106" s="4" t="str">
        <f>"JAMAICA"</f>
        <v>JAMAICA</v>
      </c>
    </row>
    <row r="107" spans="1:2" x14ac:dyDescent="0.25">
      <c r="A107" s="4" t="str">
        <f>"JP"</f>
        <v>JP</v>
      </c>
      <c r="B107" s="4" t="str">
        <f>"JAPAN"</f>
        <v>JAPAN</v>
      </c>
    </row>
    <row r="108" spans="1:2" x14ac:dyDescent="0.25">
      <c r="A108" s="4" t="str">
        <f>"JE"</f>
        <v>JE</v>
      </c>
      <c r="B108" s="4" t="str">
        <f>"JERSEY"</f>
        <v>JERSEY</v>
      </c>
    </row>
    <row r="109" spans="1:2" x14ac:dyDescent="0.25">
      <c r="A109" s="4" t="str">
        <f>"JO"</f>
        <v>JO</v>
      </c>
      <c r="B109" s="4" t="str">
        <f>"JORDAN"</f>
        <v>JORDAN</v>
      </c>
    </row>
    <row r="110" spans="1:2" x14ac:dyDescent="0.25">
      <c r="A110" s="4" t="str">
        <f>"KZ"</f>
        <v>KZ</v>
      </c>
      <c r="B110" s="4" t="str">
        <f>"KAZAKHSTAN"</f>
        <v>KAZAKHSTAN</v>
      </c>
    </row>
    <row r="111" spans="1:2" x14ac:dyDescent="0.25">
      <c r="A111" s="4" t="str">
        <f>"KE"</f>
        <v>KE</v>
      </c>
      <c r="B111" s="4" t="str">
        <f>"KENYA"</f>
        <v>KENYA</v>
      </c>
    </row>
    <row r="112" spans="1:2" x14ac:dyDescent="0.25">
      <c r="A112" s="4" t="str">
        <f>"KI"</f>
        <v>KI</v>
      </c>
      <c r="B112" s="4" t="str">
        <f>"KIRIBATI"</f>
        <v>KIRIBATI</v>
      </c>
    </row>
    <row r="113" spans="1:2" x14ac:dyDescent="0.25">
      <c r="A113" s="4" t="str">
        <f>"XK"</f>
        <v>XK</v>
      </c>
      <c r="B113" s="4" t="str">
        <f>"KOSOVO"</f>
        <v>KOSOVO</v>
      </c>
    </row>
    <row r="114" spans="1:2" x14ac:dyDescent="0.25">
      <c r="A114" s="4" t="str">
        <f>"KW"</f>
        <v>KW</v>
      </c>
      <c r="B114" s="4" t="str">
        <f>"KUWAIT"</f>
        <v>KUWAIT</v>
      </c>
    </row>
    <row r="115" spans="1:2" x14ac:dyDescent="0.25">
      <c r="A115" s="4" t="str">
        <f>"KG"</f>
        <v>KG</v>
      </c>
      <c r="B115" s="4" t="str">
        <f>"KYRGYZSTAN"</f>
        <v>KYRGYZSTAN</v>
      </c>
    </row>
    <row r="116" spans="1:2" x14ac:dyDescent="0.25">
      <c r="A116" s="4" t="str">
        <f>"LA"</f>
        <v>LA</v>
      </c>
      <c r="B116" s="4" t="str">
        <f>"LAOS"</f>
        <v>LAOS</v>
      </c>
    </row>
    <row r="117" spans="1:2" x14ac:dyDescent="0.25">
      <c r="A117" s="4" t="str">
        <f>"LV"</f>
        <v>LV</v>
      </c>
      <c r="B117" s="4" t="str">
        <f>"LATVIA"</f>
        <v>LATVIA</v>
      </c>
    </row>
    <row r="118" spans="1:2" x14ac:dyDescent="0.25">
      <c r="A118" s="4" t="str">
        <f>"LB"</f>
        <v>LB</v>
      </c>
      <c r="B118" s="4" t="str">
        <f>"LEBANON"</f>
        <v>LEBANON</v>
      </c>
    </row>
    <row r="119" spans="1:2" x14ac:dyDescent="0.25">
      <c r="A119" s="4" t="str">
        <f>"LS"</f>
        <v>LS</v>
      </c>
      <c r="B119" s="4" t="str">
        <f>"LESOTHO"</f>
        <v>LESOTHO</v>
      </c>
    </row>
    <row r="120" spans="1:2" x14ac:dyDescent="0.25">
      <c r="A120" s="4" t="str">
        <f>"LR"</f>
        <v>LR</v>
      </c>
      <c r="B120" s="4" t="str">
        <f>"LIBERIA"</f>
        <v>LIBERIA</v>
      </c>
    </row>
    <row r="121" spans="1:2" x14ac:dyDescent="0.25">
      <c r="A121" s="4" t="str">
        <f>"LY"</f>
        <v>LY</v>
      </c>
      <c r="B121" s="4" t="str">
        <f>"LIBYA"</f>
        <v>LIBYA</v>
      </c>
    </row>
    <row r="122" spans="1:2" x14ac:dyDescent="0.25">
      <c r="A122" s="4" t="str">
        <f>"LI"</f>
        <v>LI</v>
      </c>
      <c r="B122" s="4" t="str">
        <f>"LIECHTENSTEIN"</f>
        <v>LIECHTENSTEIN</v>
      </c>
    </row>
    <row r="123" spans="1:2" x14ac:dyDescent="0.25">
      <c r="A123" s="4" t="str">
        <f>"LT"</f>
        <v>LT</v>
      </c>
      <c r="B123" s="4" t="str">
        <f>"LITHUANIA"</f>
        <v>LITHUANIA</v>
      </c>
    </row>
    <row r="124" spans="1:2" x14ac:dyDescent="0.25">
      <c r="A124" s="4" t="str">
        <f>"LU"</f>
        <v>LU</v>
      </c>
      <c r="B124" s="4" t="str">
        <f>"LUXEMBOURG"</f>
        <v>LUXEMBOURG</v>
      </c>
    </row>
    <row r="125" spans="1:2" x14ac:dyDescent="0.25">
      <c r="A125" s="4" t="str">
        <f>"MO"</f>
        <v>MO</v>
      </c>
      <c r="B125" s="4" t="str">
        <f>"MACAU"</f>
        <v>MACAU</v>
      </c>
    </row>
    <row r="126" spans="1:2" x14ac:dyDescent="0.25">
      <c r="A126" s="4" t="str">
        <f>"MK"</f>
        <v>MK</v>
      </c>
      <c r="B126" s="4" t="str">
        <f>"MACEDONIA"</f>
        <v>MACEDONIA</v>
      </c>
    </row>
    <row r="127" spans="1:2" x14ac:dyDescent="0.25">
      <c r="A127" s="4" t="str">
        <f>"MG"</f>
        <v>MG</v>
      </c>
      <c r="B127" s="4" t="str">
        <f>"MADAGASCAR"</f>
        <v>MADAGASCAR</v>
      </c>
    </row>
    <row r="128" spans="1:2" x14ac:dyDescent="0.25">
      <c r="A128" s="4" t="str">
        <f>"MW"</f>
        <v>MW</v>
      </c>
      <c r="B128" s="4" t="str">
        <f>"MALAWI"</f>
        <v>MALAWI</v>
      </c>
    </row>
    <row r="129" spans="1:2" x14ac:dyDescent="0.25">
      <c r="A129" s="4" t="str">
        <f>"MY"</f>
        <v>MY</v>
      </c>
      <c r="B129" s="4" t="str">
        <f>"MALAYSIA"</f>
        <v>MALAYSIA</v>
      </c>
    </row>
    <row r="130" spans="1:2" x14ac:dyDescent="0.25">
      <c r="A130" s="4" t="str">
        <f>"MV"</f>
        <v>MV</v>
      </c>
      <c r="B130" s="4" t="str">
        <f>"MALDIVES"</f>
        <v>MALDIVES</v>
      </c>
    </row>
    <row r="131" spans="1:2" x14ac:dyDescent="0.25">
      <c r="A131" s="4" t="str">
        <f>"ML"</f>
        <v>ML</v>
      </c>
      <c r="B131" s="4" t="str">
        <f>"MALI"</f>
        <v>MALI</v>
      </c>
    </row>
    <row r="132" spans="1:2" x14ac:dyDescent="0.25">
      <c r="A132" s="4" t="str">
        <f>"MT"</f>
        <v>MT</v>
      </c>
      <c r="B132" s="4" t="str">
        <f>"MALTA"</f>
        <v>MALTA</v>
      </c>
    </row>
    <row r="133" spans="1:2" x14ac:dyDescent="0.25">
      <c r="A133" s="4" t="str">
        <f>"MH"</f>
        <v>MH</v>
      </c>
      <c r="B133" s="4" t="str">
        <f>"MARSHALL ISLANDS"</f>
        <v>MARSHALL ISLANDS</v>
      </c>
    </row>
    <row r="134" spans="1:2" x14ac:dyDescent="0.25">
      <c r="A134" s="4" t="str">
        <f>"MR"</f>
        <v>MR</v>
      </c>
      <c r="B134" s="4" t="str">
        <f>"MAURITANIA"</f>
        <v>MAURITANIA</v>
      </c>
    </row>
    <row r="135" spans="1:2" x14ac:dyDescent="0.25">
      <c r="A135" s="4" t="str">
        <f>"MU"</f>
        <v>MU</v>
      </c>
      <c r="B135" s="4" t="str">
        <f>"MAURITIUS"</f>
        <v>MAURITIUS</v>
      </c>
    </row>
    <row r="136" spans="1:2" x14ac:dyDescent="0.25">
      <c r="A136" s="4" t="str">
        <f>"YT"</f>
        <v>YT</v>
      </c>
      <c r="B136" s="4" t="str">
        <f>"MAYOTTE"</f>
        <v>MAYOTTE</v>
      </c>
    </row>
    <row r="137" spans="1:2" x14ac:dyDescent="0.25">
      <c r="A137" s="4" t="str">
        <f>"MX"</f>
        <v>MX</v>
      </c>
      <c r="B137" s="4" t="str">
        <f>"MEXICO"</f>
        <v>MEXICO</v>
      </c>
    </row>
    <row r="138" spans="1:2" x14ac:dyDescent="0.25">
      <c r="A138" s="4" t="str">
        <f>"FM"</f>
        <v>FM</v>
      </c>
      <c r="B138" s="4" t="str">
        <f>"MICRONESIA"</f>
        <v>MICRONESIA</v>
      </c>
    </row>
    <row r="139" spans="1:2" x14ac:dyDescent="0.25">
      <c r="A139" s="4" t="str">
        <f>"MD"</f>
        <v>MD</v>
      </c>
      <c r="B139" s="4" t="str">
        <f>"MOLDOVA"</f>
        <v>MOLDOVA</v>
      </c>
    </row>
    <row r="140" spans="1:2" x14ac:dyDescent="0.25">
      <c r="A140" s="4" t="str">
        <f>"MC"</f>
        <v>MC</v>
      </c>
      <c r="B140" s="4" t="str">
        <f>"MONACO"</f>
        <v>MONACO</v>
      </c>
    </row>
    <row r="141" spans="1:2" x14ac:dyDescent="0.25">
      <c r="A141" s="4" t="str">
        <f>"MN"</f>
        <v>MN</v>
      </c>
      <c r="B141" s="4" t="str">
        <f>"MONGOLIA"</f>
        <v>MONGOLIA</v>
      </c>
    </row>
    <row r="142" spans="1:2" x14ac:dyDescent="0.25">
      <c r="A142" s="4" t="str">
        <f>"ME"</f>
        <v>ME</v>
      </c>
      <c r="B142" s="4" t="str">
        <f>"MONTENEGRO"</f>
        <v>MONTENEGRO</v>
      </c>
    </row>
    <row r="143" spans="1:2" x14ac:dyDescent="0.25">
      <c r="A143" s="4" t="str">
        <f>"MS"</f>
        <v>MS</v>
      </c>
      <c r="B143" s="4" t="str">
        <f>"MONTSERRAT"</f>
        <v>MONTSERRAT</v>
      </c>
    </row>
    <row r="144" spans="1:2" x14ac:dyDescent="0.25">
      <c r="A144" s="4" t="str">
        <f>"MA"</f>
        <v>MA</v>
      </c>
      <c r="B144" s="4" t="str">
        <f>"MOROCCO"</f>
        <v>MOROCCO</v>
      </c>
    </row>
    <row r="145" spans="1:2" x14ac:dyDescent="0.25">
      <c r="A145" s="4" t="str">
        <f>"MZ"</f>
        <v>MZ</v>
      </c>
      <c r="B145" s="4" t="str">
        <f>"MOZAMBIQUE"</f>
        <v>MOZAMBIQUE</v>
      </c>
    </row>
    <row r="146" spans="1:2" x14ac:dyDescent="0.25">
      <c r="A146" s="4" t="str">
        <f>"MM"</f>
        <v>MM</v>
      </c>
      <c r="B146" s="4" t="str">
        <f>"MYANMAR"</f>
        <v>MYANMAR</v>
      </c>
    </row>
    <row r="147" spans="1:2" x14ac:dyDescent="0.25">
      <c r="A147" s="4" t="str">
        <f>"NA"</f>
        <v>NA</v>
      </c>
      <c r="B147" s="4" t="str">
        <f>"NAMIBIA"</f>
        <v>NAMIBIA</v>
      </c>
    </row>
    <row r="148" spans="1:2" x14ac:dyDescent="0.25">
      <c r="A148" s="4" t="str">
        <f>"NR"</f>
        <v>NR</v>
      </c>
      <c r="B148" s="4" t="str">
        <f>"NAURU"</f>
        <v>NAURU</v>
      </c>
    </row>
    <row r="149" spans="1:2" x14ac:dyDescent="0.25">
      <c r="A149" s="4" t="str">
        <f>"NP"</f>
        <v>NP</v>
      </c>
      <c r="B149" s="4" t="str">
        <f>"NEPAL"</f>
        <v>NEPAL</v>
      </c>
    </row>
    <row r="150" spans="1:2" x14ac:dyDescent="0.25">
      <c r="A150" s="4" t="str">
        <f>"NL"</f>
        <v>NL</v>
      </c>
      <c r="B150" s="4" t="str">
        <f>"NETHERLANDS"</f>
        <v>NETHERLANDS</v>
      </c>
    </row>
    <row r="151" spans="1:2" x14ac:dyDescent="0.25">
      <c r="A151" s="4" t="str">
        <f>"AN"</f>
        <v>AN</v>
      </c>
      <c r="B151" s="4" t="str">
        <f>"NETHERLANDS ANTILLES"</f>
        <v>NETHERLANDS ANTILLES</v>
      </c>
    </row>
    <row r="152" spans="1:2" x14ac:dyDescent="0.25">
      <c r="A152" s="4" t="str">
        <f>"NC"</f>
        <v>NC</v>
      </c>
      <c r="B152" s="4" t="str">
        <f>"NEW CALEDONIA"</f>
        <v>NEW CALEDONIA</v>
      </c>
    </row>
    <row r="153" spans="1:2" x14ac:dyDescent="0.25">
      <c r="A153" s="4" t="str">
        <f>"NZ"</f>
        <v>NZ</v>
      </c>
      <c r="B153" s="4" t="str">
        <f>"NEW ZEALAND"</f>
        <v>NEW ZEALAND</v>
      </c>
    </row>
    <row r="154" spans="1:2" x14ac:dyDescent="0.25">
      <c r="A154" s="4" t="str">
        <f>"NI"</f>
        <v>NI</v>
      </c>
      <c r="B154" s="4" t="str">
        <f>"NICARAGUA"</f>
        <v>NICARAGUA</v>
      </c>
    </row>
    <row r="155" spans="1:2" x14ac:dyDescent="0.25">
      <c r="A155" s="4" t="str">
        <f>"NE"</f>
        <v>NE</v>
      </c>
      <c r="B155" s="4" t="str">
        <f>"NIGER"</f>
        <v>NIGER</v>
      </c>
    </row>
    <row r="156" spans="1:2" x14ac:dyDescent="0.25">
      <c r="A156" s="4" t="str">
        <f>"NG"</f>
        <v>NG</v>
      </c>
      <c r="B156" s="4" t="str">
        <f>"NIGERIA"</f>
        <v>NIGERIA</v>
      </c>
    </row>
    <row r="157" spans="1:2" x14ac:dyDescent="0.25">
      <c r="A157" s="4" t="str">
        <f>"NU"</f>
        <v>NU</v>
      </c>
      <c r="B157" s="4" t="str">
        <f>"NIUE"</f>
        <v>NIUE</v>
      </c>
    </row>
    <row r="158" spans="1:2" x14ac:dyDescent="0.25">
      <c r="A158" s="4" t="str">
        <f>"KP"</f>
        <v>KP</v>
      </c>
      <c r="B158" s="4" t="str">
        <f>"NORTH KOREA"</f>
        <v>NORTH KOREA</v>
      </c>
    </row>
    <row r="159" spans="1:2" x14ac:dyDescent="0.25">
      <c r="A159" s="4" t="str">
        <f>"MP"</f>
        <v>MP</v>
      </c>
      <c r="B159" s="4" t="str">
        <f>"NORTHERN MARIANA ISLANDS"</f>
        <v>NORTHERN MARIANA ISLANDS</v>
      </c>
    </row>
    <row r="160" spans="1:2" x14ac:dyDescent="0.25">
      <c r="A160" s="4" t="str">
        <f>"NO"</f>
        <v>NO</v>
      </c>
      <c r="B160" s="4" t="str">
        <f>"NORWAY"</f>
        <v>NORWAY</v>
      </c>
    </row>
    <row r="161" spans="1:2" x14ac:dyDescent="0.25">
      <c r="A161" s="4" t="str">
        <f>"OM"</f>
        <v>OM</v>
      </c>
      <c r="B161" s="4" t="str">
        <f>"OMAN"</f>
        <v>OMAN</v>
      </c>
    </row>
    <row r="162" spans="1:2" x14ac:dyDescent="0.25">
      <c r="A162" s="4" t="str">
        <f>"PK"</f>
        <v>PK</v>
      </c>
      <c r="B162" s="4" t="str">
        <f>"PAKISTAN"</f>
        <v>PAKISTAN</v>
      </c>
    </row>
    <row r="163" spans="1:2" x14ac:dyDescent="0.25">
      <c r="A163" s="4" t="str">
        <f>"PW"</f>
        <v>PW</v>
      </c>
      <c r="B163" s="4" t="str">
        <f>"PALAU"</f>
        <v>PALAU</v>
      </c>
    </row>
    <row r="164" spans="1:2" x14ac:dyDescent="0.25">
      <c r="A164" s="4" t="str">
        <f>"PS"</f>
        <v>PS</v>
      </c>
      <c r="B164" s="4" t="str">
        <f>"PALESTINE"</f>
        <v>PALESTINE</v>
      </c>
    </row>
    <row r="165" spans="1:2" x14ac:dyDescent="0.25">
      <c r="A165" s="4" t="str">
        <f>"PA"</f>
        <v>PA</v>
      </c>
      <c r="B165" s="4" t="str">
        <f>"PANAMA"</f>
        <v>PANAMA</v>
      </c>
    </row>
    <row r="166" spans="1:2" x14ac:dyDescent="0.25">
      <c r="A166" s="4" t="str">
        <f>"PG"</f>
        <v>PG</v>
      </c>
      <c r="B166" s="4" t="str">
        <f>"PAPUA NEW GUINEA"</f>
        <v>PAPUA NEW GUINEA</v>
      </c>
    </row>
    <row r="167" spans="1:2" x14ac:dyDescent="0.25">
      <c r="A167" s="4" t="str">
        <f>"PY"</f>
        <v>PY</v>
      </c>
      <c r="B167" s="4" t="str">
        <f>"PARAGUAY"</f>
        <v>PARAGUAY</v>
      </c>
    </row>
    <row r="168" spans="1:2" x14ac:dyDescent="0.25">
      <c r="A168" s="4" t="str">
        <f>"PE"</f>
        <v>PE</v>
      </c>
      <c r="B168" s="4" t="str">
        <f>"PERU"</f>
        <v>PERU</v>
      </c>
    </row>
    <row r="169" spans="1:2" x14ac:dyDescent="0.25">
      <c r="A169" s="4" t="str">
        <f>"PH"</f>
        <v>PH</v>
      </c>
      <c r="B169" s="4" t="str">
        <f>"PHILIPPINES"</f>
        <v>PHILIPPINES</v>
      </c>
    </row>
    <row r="170" spans="1:2" x14ac:dyDescent="0.25">
      <c r="A170" s="4" t="str">
        <f>"PN"</f>
        <v>PN</v>
      </c>
      <c r="B170" s="4" t="str">
        <f>"PITCAIRN"</f>
        <v>PITCAIRN</v>
      </c>
    </row>
    <row r="171" spans="1:2" x14ac:dyDescent="0.25">
      <c r="A171" s="4" t="str">
        <f>"PL"</f>
        <v>PL</v>
      </c>
      <c r="B171" s="4" t="str">
        <f>"POLAND"</f>
        <v>POLAND</v>
      </c>
    </row>
    <row r="172" spans="1:2" x14ac:dyDescent="0.25">
      <c r="A172" s="4" t="str">
        <f>"PT"</f>
        <v>PT</v>
      </c>
      <c r="B172" s="4" t="str">
        <f>"PORTUGAL"</f>
        <v>PORTUGAL</v>
      </c>
    </row>
    <row r="173" spans="1:2" x14ac:dyDescent="0.25">
      <c r="A173" s="4" t="str">
        <f>"PR"</f>
        <v>PR</v>
      </c>
      <c r="B173" s="4" t="str">
        <f>"PUERTO RICO"</f>
        <v>PUERTO RICO</v>
      </c>
    </row>
    <row r="174" spans="1:2" x14ac:dyDescent="0.25">
      <c r="A174" s="4" t="str">
        <f>"QA"</f>
        <v>QA</v>
      </c>
      <c r="B174" s="4" t="str">
        <f>"QATAR"</f>
        <v>QATAR</v>
      </c>
    </row>
    <row r="175" spans="1:2" x14ac:dyDescent="0.25">
      <c r="A175" s="4" t="str">
        <f>"CG"</f>
        <v>CG</v>
      </c>
      <c r="B175" s="4" t="str">
        <f>"REPUBLIC OF THE CONGO"</f>
        <v>REPUBLIC OF THE CONGO</v>
      </c>
    </row>
    <row r="176" spans="1:2" x14ac:dyDescent="0.25">
      <c r="A176" s="4" t="str">
        <f>"RE"</f>
        <v>RE</v>
      </c>
      <c r="B176" s="4" t="str">
        <f>"REUNION"</f>
        <v>REUNION</v>
      </c>
    </row>
    <row r="177" spans="1:2" x14ac:dyDescent="0.25">
      <c r="A177" s="4" t="str">
        <f>"RO"</f>
        <v>RO</v>
      </c>
      <c r="B177" s="4" t="str">
        <f>"ROMANIA"</f>
        <v>ROMANIA</v>
      </c>
    </row>
    <row r="178" spans="1:2" x14ac:dyDescent="0.25">
      <c r="A178" s="4" t="str">
        <f>"RU"</f>
        <v>RU</v>
      </c>
      <c r="B178" s="4" t="str">
        <f>"RUSSIA"</f>
        <v>RUSSIA</v>
      </c>
    </row>
    <row r="179" spans="1:2" x14ac:dyDescent="0.25">
      <c r="A179" s="4" t="str">
        <f>"RW"</f>
        <v>RW</v>
      </c>
      <c r="B179" s="4" t="str">
        <f>"RWANDA"</f>
        <v>RWANDA</v>
      </c>
    </row>
    <row r="180" spans="1:2" x14ac:dyDescent="0.25">
      <c r="A180" s="4" t="str">
        <f>"BL"</f>
        <v>BL</v>
      </c>
      <c r="B180" s="4" t="str">
        <f>"SAINT BARTHELEMY"</f>
        <v>SAINT BARTHELEMY</v>
      </c>
    </row>
    <row r="181" spans="1:2" x14ac:dyDescent="0.25">
      <c r="A181" s="4" t="str">
        <f>"SH"</f>
        <v>SH</v>
      </c>
      <c r="B181" s="4" t="str">
        <f>"SAINT HELENA"</f>
        <v>SAINT HELENA</v>
      </c>
    </row>
    <row r="182" spans="1:2" x14ac:dyDescent="0.25">
      <c r="A182" s="4" t="str">
        <f>"KN"</f>
        <v>KN</v>
      </c>
      <c r="B182" s="4" t="str">
        <f>"SAINT KITTS AND NEVIS"</f>
        <v>SAINT KITTS AND NEVIS</v>
      </c>
    </row>
    <row r="183" spans="1:2" x14ac:dyDescent="0.25">
      <c r="A183" s="4" t="str">
        <f>"LC"</f>
        <v>LC</v>
      </c>
      <c r="B183" s="4" t="str">
        <f>"SAINT LUCIA"</f>
        <v>SAINT LUCIA</v>
      </c>
    </row>
    <row r="184" spans="1:2" x14ac:dyDescent="0.25">
      <c r="A184" s="4" t="str">
        <f>"MF"</f>
        <v>MF</v>
      </c>
      <c r="B184" s="4" t="str">
        <f>"SAINT MARTIN"</f>
        <v>SAINT MARTIN</v>
      </c>
    </row>
    <row r="185" spans="1:2" x14ac:dyDescent="0.25">
      <c r="A185" s="4" t="str">
        <f>"PM"</f>
        <v>PM</v>
      </c>
      <c r="B185" s="4" t="str">
        <f>"SAINT PIERRE AND MIQUELON"</f>
        <v>SAINT PIERRE AND MIQUELON</v>
      </c>
    </row>
    <row r="186" spans="1:2" x14ac:dyDescent="0.25">
      <c r="A186" s="4" t="str">
        <f>"VC"</f>
        <v>VC</v>
      </c>
      <c r="B186" s="4" t="str">
        <f>"SAINT VINCENT AND THE GRENADINES"</f>
        <v>SAINT VINCENT AND THE GRENADINES</v>
      </c>
    </row>
    <row r="187" spans="1:2" x14ac:dyDescent="0.25">
      <c r="A187" s="4" t="str">
        <f>"WS"</f>
        <v>WS</v>
      </c>
      <c r="B187" s="4" t="str">
        <f>"SAMOA"</f>
        <v>SAMOA</v>
      </c>
    </row>
    <row r="188" spans="1:2" x14ac:dyDescent="0.25">
      <c r="A188" s="4" t="str">
        <f>"SM"</f>
        <v>SM</v>
      </c>
      <c r="B188" s="4" t="str">
        <f>"SAN MARINO"</f>
        <v>SAN MARINO</v>
      </c>
    </row>
    <row r="189" spans="1:2" x14ac:dyDescent="0.25">
      <c r="A189" s="4" t="str">
        <f>"ST"</f>
        <v>ST</v>
      </c>
      <c r="B189" s="4" t="str">
        <f>"SAO TOME AND PRINCIPE"</f>
        <v>SAO TOME AND PRINCIPE</v>
      </c>
    </row>
    <row r="190" spans="1:2" x14ac:dyDescent="0.25">
      <c r="A190" s="4" t="str">
        <f>"SA"</f>
        <v>SA</v>
      </c>
      <c r="B190" s="4" t="str">
        <f>"SAUDI ARABIA"</f>
        <v>SAUDI ARABIA</v>
      </c>
    </row>
    <row r="191" spans="1:2" x14ac:dyDescent="0.25">
      <c r="A191" s="4" t="str">
        <f>"SN"</f>
        <v>SN</v>
      </c>
      <c r="B191" s="4" t="str">
        <f>"SENEGAL"</f>
        <v>SENEGAL</v>
      </c>
    </row>
    <row r="192" spans="1:2" x14ac:dyDescent="0.25">
      <c r="A192" s="4" t="str">
        <f>"RS"</f>
        <v>RS</v>
      </c>
      <c r="B192" s="4" t="str">
        <f>"SERBIA"</f>
        <v>SERBIA</v>
      </c>
    </row>
    <row r="193" spans="1:2" x14ac:dyDescent="0.25">
      <c r="A193" s="4" t="str">
        <f>"SC"</f>
        <v>SC</v>
      </c>
      <c r="B193" s="4" t="str">
        <f>"SEYCHELLES"</f>
        <v>SEYCHELLES</v>
      </c>
    </row>
    <row r="194" spans="1:2" x14ac:dyDescent="0.25">
      <c r="A194" s="4" t="str">
        <f>"SL"</f>
        <v>SL</v>
      </c>
      <c r="B194" s="4" t="str">
        <f>"SIERRA LEONE"</f>
        <v>SIERRA LEONE</v>
      </c>
    </row>
    <row r="195" spans="1:2" x14ac:dyDescent="0.25">
      <c r="A195" s="4" t="str">
        <f>"SG"</f>
        <v>SG</v>
      </c>
      <c r="B195" s="4" t="str">
        <f>"SINGAPORE"</f>
        <v>SINGAPORE</v>
      </c>
    </row>
    <row r="196" spans="1:2" x14ac:dyDescent="0.25">
      <c r="A196" s="4" t="str">
        <f>"SX"</f>
        <v>SX</v>
      </c>
      <c r="B196" s="4" t="str">
        <f>"SINT MAARTEN"</f>
        <v>SINT MAARTEN</v>
      </c>
    </row>
    <row r="197" spans="1:2" x14ac:dyDescent="0.25">
      <c r="A197" s="4" t="str">
        <f>"SK"</f>
        <v>SK</v>
      </c>
      <c r="B197" s="4" t="str">
        <f>"SLOVAKIA"</f>
        <v>SLOVAKIA</v>
      </c>
    </row>
    <row r="198" spans="1:2" x14ac:dyDescent="0.25">
      <c r="A198" s="4" t="str">
        <f>"SI"</f>
        <v>SI</v>
      </c>
      <c r="B198" s="4" t="str">
        <f>"SLOVENIA"</f>
        <v>SLOVENIA</v>
      </c>
    </row>
    <row r="199" spans="1:2" x14ac:dyDescent="0.25">
      <c r="A199" s="4" t="str">
        <f>"SB"</f>
        <v>SB</v>
      </c>
      <c r="B199" s="4" t="str">
        <f>"SOLOMON ISLANDS"</f>
        <v>SOLOMON ISLANDS</v>
      </c>
    </row>
    <row r="200" spans="1:2" x14ac:dyDescent="0.25">
      <c r="A200" s="4" t="str">
        <f>"SO"</f>
        <v>SO</v>
      </c>
      <c r="B200" s="4" t="str">
        <f>"SOMALIA"</f>
        <v>SOMALIA</v>
      </c>
    </row>
    <row r="201" spans="1:2" x14ac:dyDescent="0.25">
      <c r="A201" s="4" t="str">
        <f>"ZA"</f>
        <v>ZA</v>
      </c>
      <c r="B201" s="4" t="str">
        <f>"SOUTH AFRICA"</f>
        <v>SOUTH AFRICA</v>
      </c>
    </row>
    <row r="202" spans="1:2" x14ac:dyDescent="0.25">
      <c r="A202" s="4" t="str">
        <f>"KR"</f>
        <v>KR</v>
      </c>
      <c r="B202" s="4" t="str">
        <f>"SOUTH KOREA"</f>
        <v>SOUTH KOREA</v>
      </c>
    </row>
    <row r="203" spans="1:2" x14ac:dyDescent="0.25">
      <c r="A203" s="4" t="str">
        <f>"SS"</f>
        <v>SS</v>
      </c>
      <c r="B203" s="4" t="str">
        <f>"SOUTH SUDAN"</f>
        <v>SOUTH SUDAN</v>
      </c>
    </row>
    <row r="204" spans="1:2" x14ac:dyDescent="0.25">
      <c r="A204" s="4" t="str">
        <f>"ES"</f>
        <v>ES</v>
      </c>
      <c r="B204" s="4" t="str">
        <f>"SPAIN"</f>
        <v>SPAIN</v>
      </c>
    </row>
    <row r="205" spans="1:2" x14ac:dyDescent="0.25">
      <c r="A205" s="4" t="str">
        <f>"LK"</f>
        <v>LK</v>
      </c>
      <c r="B205" s="4" t="str">
        <f>"SRI LANKA"</f>
        <v>SRI LANKA</v>
      </c>
    </row>
    <row r="206" spans="1:2" x14ac:dyDescent="0.25">
      <c r="A206" s="4" t="str">
        <f>"SD"</f>
        <v>SD</v>
      </c>
      <c r="B206" s="4" t="str">
        <f>"SUDAN"</f>
        <v>SUDAN</v>
      </c>
    </row>
    <row r="207" spans="1:2" x14ac:dyDescent="0.25">
      <c r="A207" s="4" t="str">
        <f>"SR"</f>
        <v>SR</v>
      </c>
      <c r="B207" s="4" t="str">
        <f>"SURINAME"</f>
        <v>SURINAME</v>
      </c>
    </row>
    <row r="208" spans="1:2" x14ac:dyDescent="0.25">
      <c r="A208" s="4" t="str">
        <f>"SJ"</f>
        <v>SJ</v>
      </c>
      <c r="B208" s="4" t="str">
        <f>"SVALBARD AND JAN MAYEN"</f>
        <v>SVALBARD AND JAN MAYEN</v>
      </c>
    </row>
    <row r="209" spans="1:2" x14ac:dyDescent="0.25">
      <c r="A209" s="4" t="str">
        <f>"SZ"</f>
        <v>SZ</v>
      </c>
      <c r="B209" s="4" t="str">
        <f>"SWAZILAND"</f>
        <v>SWAZILAND</v>
      </c>
    </row>
    <row r="210" spans="1:2" x14ac:dyDescent="0.25">
      <c r="A210" s="4" t="str">
        <f>"SE"</f>
        <v>SE</v>
      </c>
      <c r="B210" s="4" t="str">
        <f>"SWEDEN"</f>
        <v>SWEDEN</v>
      </c>
    </row>
    <row r="211" spans="1:2" x14ac:dyDescent="0.25">
      <c r="A211" s="4" t="str">
        <f>"CH"</f>
        <v>CH</v>
      </c>
      <c r="B211" s="4" t="str">
        <f>"SWITZERLAND"</f>
        <v>SWITZERLAND</v>
      </c>
    </row>
    <row r="212" spans="1:2" x14ac:dyDescent="0.25">
      <c r="A212" s="4" t="str">
        <f>"SY"</f>
        <v>SY</v>
      </c>
      <c r="B212" s="4" t="str">
        <f>"SYRIA"</f>
        <v>SYRIA</v>
      </c>
    </row>
    <row r="213" spans="1:2" x14ac:dyDescent="0.25">
      <c r="A213" s="4" t="str">
        <f>"TW"</f>
        <v>TW</v>
      </c>
      <c r="B213" s="4" t="str">
        <f>"TAIWAN"</f>
        <v>TAIWAN</v>
      </c>
    </row>
    <row r="214" spans="1:2" x14ac:dyDescent="0.25">
      <c r="A214" s="4" t="str">
        <f>"TJ"</f>
        <v>TJ</v>
      </c>
      <c r="B214" s="4" t="str">
        <f>"TAJIKISTAN"</f>
        <v>TAJIKISTAN</v>
      </c>
    </row>
    <row r="215" spans="1:2" x14ac:dyDescent="0.25">
      <c r="A215" s="4" t="str">
        <f>"TZ"</f>
        <v>TZ</v>
      </c>
      <c r="B215" s="4" t="str">
        <f>"TANZANIA"</f>
        <v>TANZANIA</v>
      </c>
    </row>
    <row r="216" spans="1:2" x14ac:dyDescent="0.25">
      <c r="A216" s="4" t="str">
        <f>"TH"</f>
        <v>TH</v>
      </c>
      <c r="B216" s="4" t="str">
        <f>"THAILAND"</f>
        <v>THAILAND</v>
      </c>
    </row>
    <row r="217" spans="1:2" x14ac:dyDescent="0.25">
      <c r="A217" s="4" t="str">
        <f>"TG"</f>
        <v>TG</v>
      </c>
      <c r="B217" s="4" t="str">
        <f>"TOGO"</f>
        <v>TOGO</v>
      </c>
    </row>
    <row r="218" spans="1:2" x14ac:dyDescent="0.25">
      <c r="A218" s="4" t="str">
        <f>"TK"</f>
        <v>TK</v>
      </c>
      <c r="B218" s="4" t="str">
        <f>"TOKELAU"</f>
        <v>TOKELAU</v>
      </c>
    </row>
    <row r="219" spans="1:2" x14ac:dyDescent="0.25">
      <c r="A219" s="4" t="str">
        <f>"TO"</f>
        <v>TO</v>
      </c>
      <c r="B219" s="4" t="str">
        <f>"TONGA"</f>
        <v>TONGA</v>
      </c>
    </row>
    <row r="220" spans="1:2" x14ac:dyDescent="0.25">
      <c r="A220" s="4" t="str">
        <f>"TT"</f>
        <v>TT</v>
      </c>
      <c r="B220" s="4" t="str">
        <f>"TRINIDAD AND TOBAGO"</f>
        <v>TRINIDAD AND TOBAGO</v>
      </c>
    </row>
    <row r="221" spans="1:2" x14ac:dyDescent="0.25">
      <c r="A221" s="4" t="str">
        <f>"TN"</f>
        <v>TN</v>
      </c>
      <c r="B221" s="4" t="str">
        <f>"TUNISIA"</f>
        <v>TUNISIA</v>
      </c>
    </row>
    <row r="222" spans="1:2" x14ac:dyDescent="0.25">
      <c r="A222" s="4" t="str">
        <f>"TR"</f>
        <v>TR</v>
      </c>
      <c r="B222" s="4" t="str">
        <f>"TURKEY"</f>
        <v>TURKEY</v>
      </c>
    </row>
    <row r="223" spans="1:2" x14ac:dyDescent="0.25">
      <c r="A223" s="4" t="str">
        <f>"TM"</f>
        <v>TM</v>
      </c>
      <c r="B223" s="4" t="str">
        <f>"TURKMENISTAN"</f>
        <v>TURKMENISTAN</v>
      </c>
    </row>
    <row r="224" spans="1:2" x14ac:dyDescent="0.25">
      <c r="A224" s="4" t="str">
        <f>"TC"</f>
        <v>TC</v>
      </c>
      <c r="B224" s="4" t="str">
        <f>"TURKS AND CAICOS ISLANDS"</f>
        <v>TURKS AND CAICOS ISLANDS</v>
      </c>
    </row>
    <row r="225" spans="1:2" x14ac:dyDescent="0.25">
      <c r="A225" s="4" t="str">
        <f>"TV"</f>
        <v>TV</v>
      </c>
      <c r="B225" s="4" t="str">
        <f>"TUVALU"</f>
        <v>TUVALU</v>
      </c>
    </row>
    <row r="226" spans="1:2" x14ac:dyDescent="0.25">
      <c r="A226" s="4" t="str">
        <f>"VI"</f>
        <v>VI</v>
      </c>
      <c r="B226" s="4" t="str">
        <f>"U.S. VIRGIN ISLANDS"</f>
        <v>U.S. VIRGIN ISLANDS</v>
      </c>
    </row>
    <row r="227" spans="1:2" x14ac:dyDescent="0.25">
      <c r="A227" s="4" t="str">
        <f>"UG"</f>
        <v>UG</v>
      </c>
      <c r="B227" s="4" t="str">
        <f>"UGANDA"</f>
        <v>UGANDA</v>
      </c>
    </row>
    <row r="228" spans="1:2" x14ac:dyDescent="0.25">
      <c r="A228" s="4" t="str">
        <f>"UA"</f>
        <v>UA</v>
      </c>
      <c r="B228" s="4" t="str">
        <f>"UKRAINE"</f>
        <v>UKRAINE</v>
      </c>
    </row>
    <row r="229" spans="1:2" x14ac:dyDescent="0.25">
      <c r="A229" s="4" t="str">
        <f>"AE"</f>
        <v>AE</v>
      </c>
      <c r="B229" s="4" t="str">
        <f>"UNITED ARAB EMIRATES"</f>
        <v>UNITED ARAB EMIRATES</v>
      </c>
    </row>
    <row r="230" spans="1:2" x14ac:dyDescent="0.25">
      <c r="A230" s="4" t="str">
        <f>"GB"</f>
        <v>GB</v>
      </c>
      <c r="B230" s="4" t="str">
        <f>"UNITED KINGDOM"</f>
        <v>UNITED KINGDOM</v>
      </c>
    </row>
    <row r="231" spans="1:2" x14ac:dyDescent="0.25">
      <c r="A231" s="4" t="str">
        <f>"US"</f>
        <v>US</v>
      </c>
      <c r="B231" s="4" t="str">
        <f>"UNITED STATES"</f>
        <v>UNITED STATES</v>
      </c>
    </row>
    <row r="232" spans="1:2" x14ac:dyDescent="0.25">
      <c r="A232" s="4" t="str">
        <f>"UY"</f>
        <v>UY</v>
      </c>
      <c r="B232" s="4" t="str">
        <f>"URUGUAY"</f>
        <v>URUGUAY</v>
      </c>
    </row>
    <row r="233" spans="1:2" x14ac:dyDescent="0.25">
      <c r="A233" s="4" t="str">
        <f>"UZ"</f>
        <v>UZ</v>
      </c>
      <c r="B233" s="4" t="str">
        <f>"UZBEKISTAN"</f>
        <v>UZBEKISTAN</v>
      </c>
    </row>
    <row r="234" spans="1:2" x14ac:dyDescent="0.25">
      <c r="A234" s="4" t="str">
        <f>"VU"</f>
        <v>VU</v>
      </c>
      <c r="B234" s="4" t="str">
        <f>"VANUATU"</f>
        <v>VANUATU</v>
      </c>
    </row>
    <row r="235" spans="1:2" x14ac:dyDescent="0.25">
      <c r="A235" s="4" t="str">
        <f>"VA"</f>
        <v>VA</v>
      </c>
      <c r="B235" s="4" t="str">
        <f>"VATICAN"</f>
        <v>VATICAN</v>
      </c>
    </row>
    <row r="236" spans="1:2" x14ac:dyDescent="0.25">
      <c r="A236" s="4" t="str">
        <f>"VE"</f>
        <v>VE</v>
      </c>
      <c r="B236" s="4" t="str">
        <f>"VENEZUELA"</f>
        <v>VENEZUELA</v>
      </c>
    </row>
    <row r="237" spans="1:2" x14ac:dyDescent="0.25">
      <c r="A237" s="4" t="str">
        <f>"VN"</f>
        <v>VN</v>
      </c>
      <c r="B237" s="4" t="str">
        <f>"VIETNAM"</f>
        <v>VIETNAM</v>
      </c>
    </row>
    <row r="238" spans="1:2" x14ac:dyDescent="0.25">
      <c r="A238" s="4" t="str">
        <f>"WF"</f>
        <v>WF</v>
      </c>
      <c r="B238" s="4" t="str">
        <f>"WALLIS AND FUTUNA"</f>
        <v>WALLIS AND FUTUNA</v>
      </c>
    </row>
    <row r="239" spans="1:2" x14ac:dyDescent="0.25">
      <c r="A239" s="4" t="str">
        <f>"EH"</f>
        <v>EH</v>
      </c>
      <c r="B239" s="4" t="str">
        <f>"WESTERN SAHARA"</f>
        <v>WESTERN SAHARA</v>
      </c>
    </row>
    <row r="240" spans="1:2" x14ac:dyDescent="0.25">
      <c r="A240" s="4" t="str">
        <f>"YE"</f>
        <v>YE</v>
      </c>
      <c r="B240" s="4" t="str">
        <f>"YEMEN"</f>
        <v>YEMEN</v>
      </c>
    </row>
    <row r="241" spans="1:2" x14ac:dyDescent="0.25">
      <c r="A241" s="4" t="str">
        <f>"ZM"</f>
        <v>ZM</v>
      </c>
      <c r="B241" s="4" t="str">
        <f>"ZAMBIA"</f>
        <v>ZAMBIA</v>
      </c>
    </row>
    <row r="242" spans="1:2" x14ac:dyDescent="0.25">
      <c r="A242" s="4" t="str">
        <f>"ZW"</f>
        <v>ZW</v>
      </c>
      <c r="B242" s="4" t="str">
        <f>"ZIMBABWE"</f>
        <v>ZIMBABWE</v>
      </c>
    </row>
    <row r="243" spans="1:2" x14ac:dyDescent="0.25">
      <c r="A243" s="4"/>
      <c r="B243" s="4"/>
    </row>
    <row r="244" spans="1:2" x14ac:dyDescent="0.25">
      <c r="A244" s="4"/>
      <c r="B2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Item_Master</vt:lpstr>
      <vt:lpstr>Descriptions</vt:lpstr>
      <vt:lpstr>Extended_Info</vt:lpstr>
      <vt:lpstr>Attributes</vt:lpstr>
      <vt:lpstr>Part_Interchange</vt:lpstr>
      <vt:lpstr>Packages</vt:lpstr>
      <vt:lpstr>Digital_Assets</vt:lpstr>
      <vt:lpstr>Pricing</vt:lpstr>
      <vt:lpstr>EHC</vt:lpstr>
      <vt:lpstr>CountryCodes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Dangi</cp:lastModifiedBy>
  <dcterms:created xsi:type="dcterms:W3CDTF">2025-11-20T17:07:43Z</dcterms:created>
  <dcterms:modified xsi:type="dcterms:W3CDTF">2025-12-01T15:35:16Z</dcterms:modified>
</cp:coreProperties>
</file>